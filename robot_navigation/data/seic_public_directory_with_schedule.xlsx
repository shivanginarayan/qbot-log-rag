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f6a65089b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0ae2324215b4e5b"/>
    <x:sheet xmlns:r="http://schemas.openxmlformats.org/officeDocument/2006/relationships" name="SEIC_Rooms" sheetId="2" r:id="Ra2cda92a338741c9"/>
    <x:sheet xmlns:r="http://schemas.openxmlformats.org/officeDocument/2006/relationships" name="People_Offices" sheetId="3" r:id="Re56d917941a445ee"/>
    <x:sheet xmlns:r="http://schemas.openxmlformats.org/officeDocument/2006/relationships" name="Named_Spaces" sheetId="4" r:id="R74f1df2e88a3453f"/>
    <x:sheet xmlns:r="http://schemas.openxmlformats.org/officeDocument/2006/relationships" name="Notes_Sources" sheetId="5" r:id="R8520c3c30b3a4595"/>
    <x:sheet xmlns:r="http://schemas.openxmlformats.org/officeDocument/2006/relationships" name="Class_Schedule" sheetId="6" r:id="R41e2dab8e80a40eb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SEIC rooms are taken from the public Classroom Technology Database.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People_Offices uses publicly listed office assignments from engineering faculty and lecturer pages.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Named_Spaces includes public descriptions of labs/workshops; some do not have public room numbers.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14"/>
      <x:color rgb="FFFFFF"/>
    </x:font>
    <x:font>
      <x:b/>
    </x:font>
    <x:font>
      <x:b/>
      <x:color rgb="FFFFFF"/>
    </x:font>
    <x:font>
      <x:color rgb="444444"/>
    </x:font>
    <x:font>
      <x:color rgb="000000"/>
    </x:font>
    <x:font>
      <x:color rgb="008000"/>
    </x:font>
    <x:font>
      <x:b/>
      <x:sz val="16"/>
      <x:color rgb="FFFFFF"/>
    </x:font>
    <x:font>
      <x:b/>
      <x:sz val="11"/>
      <x:color theme="1"/>
      <x:name val="Calibri"/>
    </x:font>
    <x:font>
      <x:sz val="10"/>
      <x:color theme="1"/>
      <x:name val="Calibri"/>
    </x:font>
    <x:font>
      <x:b/>
      <x:sz val="16"/>
      <x:color rgb="FFFFFF"/>
      <x:name val="Calibri"/>
    </x:font>
    <x:font>
      <x:b/>
      <x:sz val="10"/>
      <x:color theme="1"/>
      <x:name val="Calibri"/>
    </x:font>
    <x:font>
      <x:sz val="10"/>
      <x:color rgb="0563C1"/>
      <x:name val="Calibri"/>
    </x:font>
    <x:font>
      <x:b/>
      <x:sz val="11"/>
      <x:color rgb="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BFD7EA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3" fillId="2" borderId="0" xfId="0" applyAlignment="1">
      <x:alignment horizontal="center" vertical="center" wrapText="1"/>
    </x:xf>
    <x:xf numFmtId="0" fontId="4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6" fillId="0" borderId="0" xfId="0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e87882e384609" /><Relationship Type="http://schemas.openxmlformats.org/officeDocument/2006/relationships/theme" Target="/xl/theme/theme1.xml" Id="Re199d11155e6488d" /><Relationship Type="http://schemas.openxmlformats.org/officeDocument/2006/relationships/sharedStrings" Target="/xl/sharedStrings.xml" Id="R9bf0f93ede824521" /><Relationship Type="http://schemas.openxmlformats.org/officeDocument/2006/relationships/worksheet" Target="/xl/worksheets/sheet1.xml" Id="Ra0ae2324215b4e5b" /><Relationship Type="http://schemas.openxmlformats.org/officeDocument/2006/relationships/worksheet" Target="/xl/worksheets/sheet2.xml" Id="Ra2cda92a338741c9" /><Relationship Type="http://schemas.openxmlformats.org/officeDocument/2006/relationships/worksheet" Target="/xl/worksheets/sheet3.xml" Id="Re56d917941a445ee" /><Relationship Type="http://schemas.openxmlformats.org/officeDocument/2006/relationships/worksheet" Target="/xl/worksheets/sheet4.xml" Id="R74f1df2e88a3453f" /><Relationship Type="http://schemas.openxmlformats.org/officeDocument/2006/relationships/worksheet" Target="/xl/worksheets/sheet5.xml" Id="R8520c3c30b3a4595" /><Relationship Type="http://schemas.openxmlformats.org/officeDocument/2006/relationships/worksheet" Target="/xl/worksheets/sheet6.xml" Id="R41e2dab8e80a40eb" /><Relationship Type="http://schemas.microsoft.com/office/2017/10/relationships/person" Target="/xl/persons/person.xml" Id="R98e96d72f8c240b3" /></Relationships>
</file>

<file path=xl/persons/person.xml><?xml version="1.0" encoding="utf-8"?>
<xltc:personList xmlns:xltc="http://schemas.microsoft.com/office/spreadsheetml/2018/threadedcomments">
  <xltc:person displayName="OpenAI" id="{A184B042-46D7-1B53-B9F9-764DBD3B34A3}"/>
  <xltc:person displayName="OpenAI" id="{C64B1DA1-F35D-5BC2-45C3-EE0AB7932B50}"/>
  <xltc:person displayName="OpenAI" id="{52CEDE48-3F12-A6EA-79B3-94013031516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fec984a12634d90" /><Relationship Type="http://schemas.openxmlformats.org/officeDocument/2006/relationships/vmlDrawing" Target="/xl/drawings/vmldrawing.vml" Id="R1d13885c49a748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3e5973bb790241d9" /><Relationship Type="http://schemas.openxmlformats.org/officeDocument/2006/relationships/vmlDrawing" Target="/xl/drawings/vmldrawing2.vml" Id="R0d9af0450e864f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2e0aa630b1f44284" /><Relationship Type="http://schemas.openxmlformats.org/officeDocument/2006/relationships/vmlDrawing" Target="/xl/drawings/vmldrawing3.vml" Id="Rb08c3258ac7746a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9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19.53125" hidden="0" customHeight="1">
      <x:c r="A1" s="22" t="str">
        <x:v>Science &amp; Engineering Innovation Center (SEIC) public directory</x:v>
      </x:c>
      <x:c r="B1" s="23"/>
      <x:c r="C1" s="23"/>
      <x:c r="D1" s="23"/>
      <x:c r="E1" s="23"/>
      <x:c r="F1" s="23"/>
      <x:c r="G1" s="23"/>
      <x:c r="H1" s="23"/>
    </x:row>
    <x:row r="2" ht="26.85546875" hidden="0" customHeight="1">
      <x:c r="A2" s="10" t="str">
        <x:v>This workbook compiles publicly visible SEIC room, office, named-space, and class-schedule-reference information from official SFSU webpages, plus public School of Engineering staff and GTA listings.</x:v>
      </x:c>
      <x:c r="B2" s="10"/>
      <x:c r="C2" s="10"/>
      <x:c r="D2" s="10"/>
      <x:c r="E2" s="10"/>
      <x:c r="F2" s="10"/>
      <x:c r="G2" s="10"/>
      <x:c r="H2" s="10"/>
    </x:row>
    <x:row r="3" ht="26.85546875" hidden="0" customHeight="1">
      <x:c r="A3" s="10" t="str">
        <x:v>It is useful as a public reference, but it is not a guaranteed complete internal room inventory or live registrar export.</x:v>
      </x:c>
      <x:c r="B3" s="10"/>
      <x:c r="C3" s="10"/>
      <x:c r="D3" s="10"/>
      <x:c r="E3" s="10"/>
      <x:c r="F3" s="10"/>
      <x:c r="G3" s="10"/>
      <x:c r="H3" s="10"/>
    </x:row>
    <x:row r="4" ht="18" hidden="0" customHeight="1">
      <x:c r="A4" s="10"/>
      <x:c r="B4" s="10"/>
      <x:c r="C4" s="10"/>
      <x:c r="D4" s="10"/>
      <x:c r="E4" s="10"/>
      <x:c r="F4" s="10"/>
      <x:c r="G4" s="10"/>
      <x:c r="H4" s="10"/>
    </x:row>
    <x:row r="5" ht="15" hidden="0" customHeight="1">
      <x:c r="A5" s="24" t="str">
        <x:v>What is included</x:v>
      </x:c>
      <x:c r="B5" s="26"/>
      <x:c r="C5" s="26"/>
      <x:c r="D5" s="26"/>
      <x:c r="E5" s="26"/>
      <x:c r="F5" s="26"/>
      <x:c r="G5" s="26"/>
      <x:c r="H5" s="26"/>
    </x:row>
    <x:row r="6" ht="15" hidden="0" customHeight="1">
      <x:c r="A6" s="10" t="str">
        <x:v>• Publicly listed SEIC rooms from the Classroom Technology Database</x:v>
      </x:c>
      <x:c r="B6" s="10"/>
      <x:c r="C6" s="10"/>
      <x:c r="D6" s="10"/>
      <x:c r="E6" s="10"/>
      <x:c r="F6" s="10"/>
      <x:c r="G6" s="10"/>
      <x:c r="H6" s="10"/>
    </x:row>
    <x:row r="7" ht="15" hidden="0" customHeight="1">
      <x:c r="A7" s="10" t="str">
        <x:v>• Publicly listed faculty and lecturer office assignments from the School of Engineering website</x:v>
      </x:c>
      <x:c r="B7" s="10"/>
      <x:c r="C7" s="10"/>
      <x:c r="D7" s="10"/>
      <x:c r="E7" s="10"/>
      <x:c r="F7" s="10"/>
      <x:c r="G7" s="10"/>
      <x:c r="H7" s="10"/>
    </x:row>
    <x:row r="8" ht="26.85546875" hidden="0" customHeight="1">
      <x:c r="A8" s="10" t="str">
        <x:v>• Publicly listed Graduate Teaching Assistants (GTAs) and School of Engineering staff entries from the official website</x:v>
      </x:c>
      <x:c r="B8" s="10"/>
      <x:c r="C8" s="10"/>
      <x:c r="D8" s="10"/>
      <x:c r="E8" s="10"/>
      <x:c r="F8" s="10"/>
      <x:c r="G8" s="10"/>
      <x:c r="H8" s="10"/>
    </x:row>
    <x:row r="9" ht="15" hidden="0" customHeight="1">
      <x:c r="A9" s="10" t="str">
        <x:v>• Publicly described named spaces/workshops/labs in SEIC</x:v>
      </x:c>
      <x:c r="B9" s="10"/>
      <x:c r="C9" s="10"/>
      <x:c r="D9" s="10"/>
      <x:c r="E9" s="10"/>
      <x:c r="F9" s="10"/>
      <x:c r="G9" s="10"/>
      <x:c r="H9" s="10"/>
    </x:row>
    <x:row r="10" ht="15" hidden="0" customHeight="1">
      <x:c r="A10" s="20" t="str">
        <x:v>• Public class-schedule search metadata and SEIC search references for Fall 2026 ENGR</x:v>
      </x:c>
      <x:c r="B10" s="10"/>
      <x:c r="C10" s="10"/>
      <x:c r="D10" s="10"/>
      <x:c r="E10" s="10"/>
      <x:c r="F10" s="10"/>
      <x:c r="G10" s="10"/>
      <x:c r="H10" s="10"/>
    </x:row>
    <x:row r="11" ht="18" hidden="0" customHeight="1">
      <x:c r="A11" s="10"/>
      <x:c r="B11" s="10"/>
      <x:c r="C11" s="10"/>
      <x:c r="D11" s="10"/>
      <x:c r="E11" s="10"/>
      <x:c r="F11" s="10"/>
      <x:c r="G11" s="10"/>
      <x:c r="H11" s="10"/>
    </x:row>
    <x:row r="12" ht="15" hidden="0" customHeight="1">
      <x:c r="A12" s="26" t="str">
        <x:v>Known limitations / caveats</x:v>
      </x:c>
      <x:c r="B12" s="26"/>
      <x:c r="C12" s="26"/>
      <x:c r="D12" s="26"/>
      <x:c r="E12" s="26"/>
      <x:c r="F12" s="26"/>
      <x:c r="G12" s="26"/>
      <x:c r="H12" s="26"/>
    </x:row>
    <x:row r="13" ht="26.85546875" hidden="0" customHeight="1">
      <x:c r="A13" s="10" t="str">
        <x:v>• Some public pages conflict or lag behind each other (for example, Zhaoshuo Jiang is listed as SEIC 334 on a profile/coordinator listing, while one faculty-list section shows SEIC 346).</x:v>
      </x:c>
      <x:c r="B13" s="10"/>
      <x:c r="C13" s="10"/>
      <x:c r="D13" s="10"/>
      <x:c r="E13" s="10"/>
      <x:c r="F13" s="10"/>
      <x:c r="G13" s="10"/>
      <x:c r="H13" s="10"/>
    </x:row>
    <x:row r="14" ht="26.85546875" hidden="0" customHeight="1">
      <x:c r="A14" s="10" t="str">
        <x:v>• Many GTAs and some lecturers are publicly listed without offices; this workbook keeps their entry but leaves office blank when the page does not provide one.</x:v>
      </x:c>
      <x:c r="B14" s="10"/>
      <x:c r="C14" s="10"/>
      <x:c r="D14" s="10"/>
      <x:c r="E14" s="10"/>
      <x:c r="F14" s="10"/>
      <x:c r="G14" s="10"/>
      <x:c r="H14" s="10"/>
    </x:row>
    <x:row r="15" ht="26.85546875" hidden="0" customHeight="1">
      <x:c r="A15" s="20" t="str">
        <x:v>• Some school staff/public contact pages still reference SEC or HH offices outside SEIC; those entries are included and clearly labeled as non-SEIC public locations.</x:v>
      </x:c>
      <x:c r="B15" s="10"/>
      <x:c r="C15" s="10"/>
      <x:c r="D15" s="10"/>
      <x:c r="E15" s="10"/>
      <x:c r="F15" s="10"/>
      <x:c r="G15" s="10"/>
      <x:c r="H15" s="10"/>
    </x:row>
    <x:row r="16" ht="26.85546875" hidden="0" customHeight="1">
      <x:c r="A16" s="10" t="str">
        <x:v>• Some named spaces (machine shop, robotics lab, applied project space, etc.) are publicly described without room numbers.</x:v>
      </x:c>
      <x:c r="B16" s="10"/>
      <x:c r="C16" s="10"/>
      <x:c r="D16" s="10"/>
      <x:c r="E16" s="10"/>
      <x:c r="F16" s="10"/>
      <x:c r="G16" s="10"/>
      <x:c r="H16" s="10"/>
    </x:row>
    <x:row r="17" ht="40.283203125" hidden="0" customHeight="1">
      <x:c r="A17" s="10" t="str">
        <x:v>• The public class-search interface did not expose all live section rows in tool-readable text during this pass, so the class-schedule sheet combines verified public page metadata with clearly labeled user-provided schedule context where applicable.</x:v>
      </x:c>
      <x:c r="B17" s="10"/>
      <x:c r="C17" s="10"/>
      <x:c r="D17" s="10"/>
      <x:c r="E17" s="10"/>
      <x:c r="F17" s="10"/>
      <x:c r="G17" s="10"/>
      <x:c r="H17" s="10"/>
    </x:row>
    <x:row r="18" ht="18" hidden="0" customHeight="1">
      <x:c r="A18" s="10"/>
      <x:c r="B18" s="10"/>
      <x:c r="C18" s="10"/>
      <x:c r="D18" s="10"/>
      <x:c r="E18" s="10"/>
      <x:c r="F18" s="10"/>
      <x:c r="G18" s="10"/>
      <x:c r="H18" s="10"/>
    </x:row>
    <x:row r="19" ht="15" hidden="0" customHeight="1">
      <x:c r="A19" s="26" t="str">
        <x:v>Sheet guide</x:v>
      </x:c>
      <x:c r="B19" s="26"/>
      <x:c r="C19" s="26"/>
      <x:c r="D19" s="26"/>
      <x:c r="E19" s="26"/>
      <x:c r="F19" s="26"/>
      <x:c r="G19" s="26"/>
      <x:c r="H19" s="26"/>
    </x:row>
    <x:row r="20" ht="15" hidden="0" customHeight="1">
      <x:c r="A20" s="10" t="str">
        <x:v>SEIC_Rooms = public SEIC rooms and room types</x:v>
      </x:c>
      <x:c r="B20" s="10"/>
      <x:c r="C20" s="10"/>
      <x:c r="D20" s="10"/>
      <x:c r="E20" s="10"/>
      <x:c r="F20" s="10"/>
      <x:c r="G20" s="10"/>
      <x:c r="H20" s="10"/>
    </x:row>
    <x:row r="21" ht="15" hidden="0" customHeight="1">
      <x:c r="A21" s="10" t="str">
        <x:v>People_Offices = public faculty, lecturer, GTA, and staff entries with public office/location data</x:v>
      </x:c>
      <x:c r="B21" s="10"/>
      <x:c r="C21" s="10"/>
      <x:c r="D21" s="10"/>
      <x:c r="E21" s="10"/>
      <x:c r="F21" s="10"/>
      <x:c r="G21" s="10"/>
      <x:c r="H21" s="10"/>
    </x:row>
    <x:row r="22" ht="15" hidden="0" customHeight="1">
      <x:c r="A22" s="10" t="str">
        <x:v>Named_Spaces = public labs, makerspaces, and workshops in SEIC</x:v>
      </x:c>
      <x:c r="B22" s="10"/>
      <x:c r="C22" s="10"/>
      <x:c r="D22" s="10"/>
      <x:c r="E22" s="10"/>
      <x:c r="F22" s="10"/>
      <x:c r="G22" s="10"/>
      <x:c r="H22" s="10"/>
    </x:row>
    <x:row r="23" ht="26.85546875" hidden="0" customHeight="1">
      <x:c r="A23" s="10" t="str">
        <x:v>Class_Schedule = public class-search metadata, SEIC search references, and known user-provided teaching schedule context</x:v>
      </x:c>
      <x:c r="B23" s="10"/>
      <x:c r="C23" s="10"/>
      <x:c r="D23" s="10"/>
      <x:c r="E23" s="10"/>
      <x:c r="F23" s="10"/>
      <x:c r="G23" s="10"/>
      <x:c r="H23" s="10"/>
    </x:row>
    <x:row r="24" ht="15" hidden="0" customHeight="1">
      <x:c r="A24" s="10" t="str">
        <x:v>Notes_Sources = source URLs and interpretation notes</x:v>
      </x:c>
      <x:c r="B24" s="10"/>
      <x:c r="C24" s="10"/>
      <x:c r="D24" s="10"/>
      <x:c r="E24" s="10"/>
      <x:c r="F24" s="10"/>
      <x:c r="G24" s="10"/>
      <x:c r="H24" s="10"/>
    </x:row>
    <x:row r="25" ht="18" hidden="0" customHeight="1">
      <x:c r="A25" s="10"/>
      <x:c r="B25" s="10"/>
      <x:c r="C25" s="10"/>
      <x:c r="D25" s="10"/>
      <x:c r="E25" s="10"/>
      <x:c r="F25" s="10"/>
      <x:c r="G25" s="10"/>
      <x:c r="H25" s="10"/>
    </x:row>
    <x:row r="26" ht="18" hidden="0" customHeight="1">
      <x:c r="A26" s="10"/>
      <x:c r="B26" s="10"/>
      <x:c r="C26" s="10"/>
      <x:c r="D26" s="10"/>
      <x:c r="E26" s="10"/>
      <x:c r="F26" s="10"/>
      <x:c r="G26" s="10"/>
      <x:c r="H26" s="10"/>
    </x:row>
    <x:row r="27" ht="18" hidden="0" customHeight="1">
      <x:c r="A27" s="10"/>
      <x:c r="B27" s="10"/>
      <x:c r="C27" s="10"/>
      <x:c r="D27" s="10"/>
      <x:c r="E27" s="10"/>
      <x:c r="F27" s="10"/>
      <x:c r="G27" s="10"/>
      <x:c r="H27" s="10"/>
    </x:row>
    <x:row r="28" ht="18" hidden="0" customHeight="1">
      <x:c r="A28" s="10"/>
      <x:c r="B28" s="10"/>
      <x:c r="C28" s="10"/>
      <x:c r="D28" s="10"/>
      <x:c r="E28" s="10"/>
      <x:c r="F28" s="10"/>
      <x:c r="G28" s="10"/>
      <x:c r="H28" s="10"/>
    </x:row>
    <x:row r="29" ht="18" hidden="0" customHeight="1">
      <x:c r="A29" s="10"/>
      <x:c r="B29" s="10"/>
      <x:c r="C29" s="10"/>
      <x:c r="D29" s="10"/>
      <x:c r="E29" s="10"/>
      <x:c r="F29" s="10"/>
      <x:c r="G29" s="10"/>
      <x:c r="H29" s="10"/>
    </x:row>
    <x:row r="30" ht="18" hidden="0" customHeight="1">
      <x:c r="A30" s="10"/>
      <x:c r="B30" s="10"/>
      <x:c r="C30" s="10"/>
      <x:c r="D30" s="10"/>
      <x:c r="E30" s="10"/>
      <x:c r="F30" s="10"/>
      <x:c r="G30" s="10"/>
      <x:c r="H30" s="1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8" customWidth="1"/>
    <x:col min="3" max="3" width="24" customWidth="1"/>
    <x:col min="4" max="4" width="18" customWidth="1"/>
    <x:col min="5" max="5" width="38" customWidth="1"/>
    <x:col min="6" max="6" width="24" customWidth="1"/>
    <x:col min="7" max="7" width="36" customWidth="1"/>
    <x:col min="8" max="8" width="48" customWidth="1"/>
  </x:cols>
  <x:sheetData>
    <x:row r="1">
      <x:c r="A1" s="4" t="inlineStr">
        <x:is>
          <x:t xml:space="preserve">Room</x:t>
        </x:is>
      </x:c>
      <x:c r="B1" s="4" t="inlineStr">
        <x:is>
          <x:t xml:space="preserve">Floor</x:t>
        </x:is>
      </x:c>
      <x:c r="C1" s="4" t="inlineStr">
        <x:is>
          <x:t xml:space="preserve">Public room type</x:t>
        </x:is>
      </x:c>
      <x:c r="D1" s="4" t="inlineStr">
        <x:is>
          <x:t xml:space="preserve">Category</x:t>
        </x:is>
      </x:c>
      <x:c r="E1" s="4" t="inlineStr">
        <x:is>
          <x:t xml:space="preserve">A/V or equipment</x:t>
        </x:is>
      </x:c>
      <x:c r="F1" s="4" t="inlineStr">
        <x:is>
          <x:t xml:space="preserve">Source page</x:t>
        </x:is>
      </x:c>
      <x:c r="G1" s="4" t="inlineStr">
        <x:is>
          <x:t xml:space="preserve">Source URL</x:t>
        </x:is>
      </x:c>
      <x:c r="H1" s="4" t="inlineStr">
        <x:is>
          <x:t xml:space="preserve">Notes</x:t>
        </x:is>
      </x:c>
    </x:row>
    <x:row r="2" ht="30" customHeight="1">
      <x:c r="A2" s="5" t="inlineStr">
        <x:is>
          <x:t xml:space="preserve">SEIC 100</x:t>
        </x:is>
      </x:c>
      <x:c r="B2" s="6" t="n">
        <x:f>IFERROR(VALUE(LEFT(SUBSTITUTE($A2,"SEIC ",""),1)),"")</x:f>
        <x:v>1</x:v>
      </x:c>
      <x:c r="C2" s="5" t="inlineStr">
        <x:is>
          <x:t xml:space="preserve">Science / Engineering Lab</x:t>
        </x:is>
      </x:c>
      <x:c r="D2" s="5" t="inlineStr">
        <x:is>
          <x:t xml:space="preserve">Lab</x:t>
        </x:is>
      </x:c>
      <x:c r="E2" s="5" t="inlineStr">
        <x:is>
          <x:t xml:space="preserve">LCD TV, HDMI</x:t>
        </x:is>
      </x:c>
      <x:c r="F2" s="7" t="inlineStr">
        <x:is>
          <x:t xml:space="preserve">Classroom Technology Database</x:t>
        </x:is>
      </x:c>
      <x:c r="G2" s="7" t="inlineStr">
        <x:is>
          <x:t xml:space="preserve">https://classrooms.sfsu.edu/rooms</x:t>
        </x:is>
      </x:c>
      <x:c r="H2" s="7" t="inlineStr">
        <x:is>
          <x:t xml:space="preserve"/>
        </x:is>
      </x:c>
    </x:row>
    <x:row r="3" ht="30" customHeight="1">
      <x:c r="A3" s="5" t="inlineStr">
        <x:is>
          <x:t xml:space="preserve">SEIC 101</x:t>
        </x:is>
      </x:c>
      <x:c r="B3" s="6" t="n">
        <x:f>IFERROR(VALUE(LEFT(SUBSTITUTE($A3,"SEIC ",""),1)),"")</x:f>
        <x:v>1</x:v>
      </x:c>
      <x:c r="C3" s="5" t="inlineStr">
        <x:is>
          <x:t xml:space="preserve">Classroom</x:t>
        </x:is>
      </x:c>
      <x:c r="D3" s="5" t="inlineStr">
        <x:is>
          <x:t xml:space="preserve">Classroom</x:t>
        </x:is>
      </x:c>
      <x:c r="E3" s="5" t="inlineStr">
        <x:is>
          <x:t xml:space="preserve">LCD Projector, HDMI</x:t>
        </x:is>
      </x:c>
      <x:c r="F3" s="7" t="inlineStr">
        <x:is>
          <x:t xml:space="preserve">Classroom Technology Database</x:t>
        </x:is>
      </x:c>
      <x:c r="G3" s="7" t="inlineStr">
        <x:is>
          <x:t xml:space="preserve">https://classrooms.sfsu.edu/rooms</x:t>
        </x:is>
      </x:c>
      <x:c r="H3" s="7" t="inlineStr">
        <x:is>
          <x:t xml:space="preserve"/>
        </x:is>
      </x:c>
    </x:row>
    <x:row r="4" ht="30" customHeight="1">
      <x:c r="A4" s="5" t="inlineStr">
        <x:is>
          <x:t xml:space="preserve">SEIC 103</x:t>
        </x:is>
      </x:c>
      <x:c r="B4" s="6" t="n">
        <x:f>IFERROR(VALUE(LEFT(SUBSTITUTE($A4,"SEIC ",""),1)),"")</x:f>
        <x:v>1</x:v>
      </x:c>
      <x:c r="C4" s="5" t="inlineStr">
        <x:is>
          <x:t xml:space="preserve">Classroom</x:t>
        </x:is>
      </x:c>
      <x:c r="D4" s="5" t="inlineStr">
        <x:is>
          <x:t xml:space="preserve">Classroom</x:t>
        </x:is>
      </x:c>
      <x:c r="E4" s="5" t="inlineStr">
        <x:is>
          <x:t xml:space="preserve">HDMI</x:t>
        </x:is>
      </x:c>
      <x:c r="F4" s="7" t="inlineStr">
        <x:is>
          <x:t xml:space="preserve">Classroom Technology Database</x:t>
        </x:is>
      </x:c>
      <x:c r="G4" s="7" t="inlineStr">
        <x:is>
          <x:t xml:space="preserve">https://classrooms.sfsu.edu/rooms</x:t>
        </x:is>
      </x:c>
      <x:c r="H4" s="7" t="inlineStr">
        <x:is>
          <x:t xml:space="preserve"/>
        </x:is>
      </x:c>
    </x:row>
    <x:row r="5" ht="30" customHeight="1">
      <x:c r="A5" s="5" t="inlineStr">
        <x:is>
          <x:t xml:space="preserve">SEIC 110</x:t>
        </x:is>
      </x:c>
      <x:c r="B5" s="6" t="n">
        <x:f>IFERROR(VALUE(LEFT(SUBSTITUTE($A5,"SEIC ",""),1)),"")</x:f>
        <x:v>1</x:v>
      </x:c>
      <x:c r="C5" s="5" t="inlineStr">
        <x:is>
          <x:t xml:space="preserve">Study Room</x:t>
        </x:is>
      </x:c>
      <x:c r="D5" s="5" t="inlineStr">
        <x:is>
          <x:t xml:space="preserve">Study Room</x:t>
        </x:is>
      </x:c>
      <x:c r="E5" s="5" t="inlineStr">
        <x:is>
          <x:t xml:space="preserve">LCD TV, HDMI</x:t>
        </x:is>
      </x:c>
      <x:c r="F5" s="7" t="inlineStr">
        <x:is>
          <x:t xml:space="preserve">Classroom Technology Database</x:t>
        </x:is>
      </x:c>
      <x:c r="G5" s="7" t="inlineStr">
        <x:is>
          <x:t xml:space="preserve">https://classrooms.sfsu.edu/rooms</x:t>
        </x:is>
      </x:c>
      <x:c r="H5" s="7" t="inlineStr">
        <x:is>
          <x:t xml:space="preserve"/>
        </x:is>
      </x:c>
    </x:row>
    <x:row r="6" ht="30" customHeight="1">
      <x:c r="A6" s="5" t="inlineStr">
        <x:is>
          <x:t xml:space="preserve">SEIC 111</x:t>
        </x:is>
      </x:c>
      <x:c r="B6" s="6" t="n">
        <x:f>IFERROR(VALUE(LEFT(SUBSTITUTE($A6,"SEIC ",""),1)),"")</x:f>
        <x:v>1</x:v>
      </x:c>
      <x:c r="C6" s="5" t="inlineStr">
        <x:is>
          <x:t xml:space="preserve">Science / Engineering Lab</x:t>
        </x:is>
      </x:c>
      <x:c r="D6" s="5" t="inlineStr">
        <x:is>
          <x:t xml:space="preserve">Lab</x:t>
        </x:is>
      </x:c>
      <x:c r="E6" s="5" t="inlineStr">
        <x:is>
          <x:t xml:space="preserve">LCD Projector, HDMI</x:t>
        </x:is>
      </x:c>
      <x:c r="F6" s="7" t="inlineStr">
        <x:is>
          <x:t xml:space="preserve">Classroom Technology Database</x:t>
        </x:is>
      </x:c>
      <x:c r="G6" s="7" t="inlineStr">
        <x:is>
          <x:t xml:space="preserve">https://classrooms.sfsu.edu/rooms</x:t>
        </x:is>
      </x:c>
      <x:c r="H6" s="7" t="inlineStr">
        <x:is>
          <x:t xml:space="preserve"/>
        </x:is>
      </x:c>
    </x:row>
    <x:row r="7" ht="30" customHeight="1">
      <x:c r="A7" s="5" t="inlineStr">
        <x:is>
          <x:t xml:space="preserve">SEIC 115</x:t>
        </x:is>
      </x:c>
      <x:c r="B7" s="6" t="n">
        <x:f>IFERROR(VALUE(LEFT(SUBSTITUTE($A7,"SEIC ",""),1)),"")</x:f>
        <x:v>1</x:v>
      </x:c>
      <x:c r="C7" s="5" t="inlineStr">
        <x:is>
          <x:t xml:space="preserve">Classroom</x:t>
        </x:is>
      </x:c>
      <x:c r="D7" s="5" t="inlineStr">
        <x:is>
          <x:t xml:space="preserve">Classroom</x:t>
        </x:is>
      </x:c>
      <x:c r="E7" s="5" t="inlineStr">
        <x:is>
          <x:t xml:space="preserve">LCD Projector, HDMI</x:t>
        </x:is>
      </x:c>
      <x:c r="F7" s="7" t="inlineStr">
        <x:is>
          <x:t xml:space="preserve">Classroom Technology Database</x:t>
        </x:is>
      </x:c>
      <x:c r="G7" s="7" t="inlineStr">
        <x:is>
          <x:t xml:space="preserve">https://classrooms.sfsu.edu/rooms</x:t>
        </x:is>
      </x:c>
      <x:c r="H7" s="7" t="inlineStr">
        <x:is>
          <x:t xml:space="preserve"/>
        </x:is>
      </x:c>
    </x:row>
    <x:row r="8" ht="30" customHeight="1">
      <x:c r="A8" s="5" t="inlineStr">
        <x:is>
          <x:t xml:space="preserve">SEIC 116</x:t>
        </x:is>
      </x:c>
      <x:c r="B8" s="6" t="n">
        <x:f>IFERROR(VALUE(LEFT(SUBSTITUTE($A8,"SEIC ",""),1)),"")</x:f>
        <x:v>1</x:v>
      </x:c>
      <x:c r="C8" s="5" t="inlineStr">
        <x:is>
          <x:t xml:space="preserve">Lecture Hall</x:t>
        </x:is>
      </x:c>
      <x:c r="D8" s="5" t="inlineStr">
        <x:is>
          <x:t xml:space="preserve">Lecture Hall</x:t>
        </x:is>
      </x:c>
      <x:c r="E8" s="5" t="inlineStr">
        <x:is>
          <x:t xml:space="preserve">LCD Projector, LCD TV, HDMI, Mic, Doc Cam, Zoom Enabled, Blu-ray</x:t>
        </x:is>
      </x:c>
      <x:c r="F8" s="7" t="inlineStr">
        <x:is>
          <x:t xml:space="preserve">Classroom Technology Database</x:t>
        </x:is>
      </x:c>
      <x:c r="G8" s="7" t="inlineStr">
        <x:is>
          <x:t xml:space="preserve">https://classrooms.sfsu.edu/rooms</x:t>
        </x:is>
      </x:c>
      <x:c r="H8" s="7" t="inlineStr">
        <x:is>
          <x:t xml:space="preserve"/>
        </x:is>
      </x:c>
    </x:row>
    <x:row r="9" ht="30" customHeight="1">
      <x:c r="A9" s="5" t="inlineStr">
        <x:is>
          <x:t xml:space="preserve">SEIC 120</x:t>
        </x:is>
      </x:c>
      <x:c r="B9" s="6" t="n">
        <x:f>IFERROR(VALUE(LEFT(SUBSTITUTE($A9,"SEIC ",""),1)),"")</x:f>
        <x:v>1</x:v>
      </x:c>
      <x:c r="C9" s="5" t="inlineStr">
        <x:is>
          <x:t xml:space="preserve">Science / Engineering Lab</x:t>
        </x:is>
      </x:c>
      <x:c r="D9" s="5" t="inlineStr">
        <x:is>
          <x:t xml:space="preserve">Lab</x:t>
        </x:is>
      </x:c>
      <x:c r="E9" s="5" t="inlineStr">
        <x:is>
          <x:t xml:space="preserve">LCD Projector, HDMI</x:t>
        </x:is>
      </x:c>
      <x:c r="F9" s="7" t="inlineStr">
        <x:is>
          <x:t xml:space="preserve">Classroom Technology Database</x:t>
        </x:is>
      </x:c>
      <x:c r="G9" s="7" t="inlineStr">
        <x:is>
          <x:t xml:space="preserve">https://classrooms.sfsu.edu/rooms</x:t>
        </x:is>
      </x:c>
      <x:c r="H9" s="7" t="inlineStr">
        <x:is>
          <x:t xml:space="preserve">Catalyze page explicitly identifies Room 120 as the Large Garage makerspace.</x:t>
        </x:is>
      </x:c>
    </x:row>
    <x:row r="10" ht="30" customHeight="1">
      <x:c r="A10" s="5" t="inlineStr">
        <x:is>
          <x:t xml:space="preserve">SEIC 121</x:t>
        </x:is>
      </x:c>
      <x:c r="B10" s="6" t="n">
        <x:f>IFERROR(VALUE(LEFT(SUBSTITUTE($A10,"SEIC ",""),1)),"")</x:f>
        <x:v>1</x:v>
      </x:c>
      <x:c r="C10" s="5" t="inlineStr">
        <x:is>
          <x:t xml:space="preserve">Science / Engineering Lab</x:t>
        </x:is>
      </x:c>
      <x:c r="D10" s="5" t="inlineStr">
        <x:is>
          <x:t xml:space="preserve">Lab</x:t>
        </x:is>
      </x:c>
      <x:c r="E10" s="5" t="inlineStr">
        <x:is>
          <x:t xml:space="preserve">LCD TV, HDMI</x:t>
        </x:is>
      </x:c>
      <x:c r="F10" s="7" t="inlineStr">
        <x:is>
          <x:t xml:space="preserve">Classroom Technology Database</x:t>
        </x:is>
      </x:c>
      <x:c r="G10" s="7" t="inlineStr">
        <x:is>
          <x:t xml:space="preserve">https://classrooms.sfsu.edu/rooms</x:t>
        </x:is>
      </x:c>
      <x:c r="H10" s="7" t="inlineStr">
        <x:is>
          <x:t xml:space="preserve"/>
        </x:is>
      </x:c>
    </x:row>
    <x:row r="11" ht="30" customHeight="1">
      <x:c r="A11" s="5" t="inlineStr">
        <x:is>
          <x:t xml:space="preserve">SEIC 203</x:t>
        </x:is>
      </x:c>
      <x:c r="B11" s="6" t="n">
        <x:f>IFERROR(VALUE(LEFT(SUBSTITUTE($A11,"SEIC ",""),1)),"")</x:f>
        <x:v>2</x:v>
      </x:c>
      <x:c r="C11" s="5" t="inlineStr">
        <x:is>
          <x:t xml:space="preserve">Classroom</x:t>
        </x:is>
      </x:c>
      <x:c r="D11" s="5" t="inlineStr">
        <x:is>
          <x:t xml:space="preserve">Classroom</x:t>
        </x:is>
      </x:c>
      <x:c r="E11" s="5" t="inlineStr">
        <x:is>
          <x:t xml:space="preserve">LCD Projector, HDMI</x:t>
        </x:is>
      </x:c>
      <x:c r="F11" s="7" t="inlineStr">
        <x:is>
          <x:t xml:space="preserve">Classroom Technology Database</x:t>
        </x:is>
      </x:c>
      <x:c r="G11" s="7" t="inlineStr">
        <x:is>
          <x:t xml:space="preserve">https://classrooms.sfsu.edu/rooms</x:t>
        </x:is>
      </x:c>
      <x:c r="H11" s="7" t="inlineStr">
        <x:is>
          <x:t xml:space="preserve"/>
        </x:is>
      </x:c>
    </x:row>
    <x:row r="12" ht="30" customHeight="1">
      <x:c r="A12" s="5" t="inlineStr">
        <x:is>
          <x:t xml:space="preserve">SEIC 210</x:t>
        </x:is>
      </x:c>
      <x:c r="B12" s="6" t="n">
        <x:f>IFERROR(VALUE(LEFT(SUBSTITUTE($A12,"SEIC ",""),1)),"")</x:f>
        <x:v>2</x:v>
      </x:c>
      <x:c r="C12" s="5" t="inlineStr">
        <x:is>
          <x:t xml:space="preserve">Classroom</x:t>
        </x:is>
      </x:c>
      <x:c r="D12" s="5" t="inlineStr">
        <x:is>
          <x:t xml:space="preserve">Classroom</x:t>
        </x:is>
      </x:c>
      <x:c r="E12" s="5" t="inlineStr">
        <x:is>
          <x:t xml:space="preserve">LCD Projector, HDMI, Zoom Enabled</x:t>
        </x:is>
      </x:c>
      <x:c r="F12" s="7" t="inlineStr">
        <x:is>
          <x:t xml:space="preserve">Classroom Technology Database</x:t>
        </x:is>
      </x:c>
      <x:c r="G12" s="7" t="inlineStr">
        <x:is>
          <x:t xml:space="preserve">https://classrooms.sfsu.edu/rooms</x:t>
        </x:is>
      </x:c>
      <x:c r="H12" s="7" t="inlineStr">
        <x:is>
          <x:t xml:space="preserve"/>
        </x:is>
      </x:c>
    </x:row>
    <x:row r="13" ht="30" customHeight="1">
      <x:c r="A13" s="5" t="inlineStr">
        <x:is>
          <x:t xml:space="preserve">SEIC 212</x:t>
        </x:is>
      </x:c>
      <x:c r="B13" s="6" t="n">
        <x:f>IFERROR(VALUE(LEFT(SUBSTITUTE($A13,"SEIC ",""),1)),"")</x:f>
        <x:v>2</x:v>
      </x:c>
      <x:c r="C13" s="5" t="inlineStr">
        <x:is>
          <x:t xml:space="preserve">Classroom</x:t>
        </x:is>
      </x:c>
      <x:c r="D13" s="5" t="inlineStr">
        <x:is>
          <x:t xml:space="preserve">Classroom</x:t>
        </x:is>
      </x:c>
      <x:c r="E13" s="5" t="inlineStr">
        <x:is>
          <x:t xml:space="preserve">LCD Projector, HDMI, Doc Cam</x:t>
        </x:is>
      </x:c>
      <x:c r="F13" s="7" t="inlineStr">
        <x:is>
          <x:t xml:space="preserve">Classroom Technology Database</x:t>
        </x:is>
      </x:c>
      <x:c r="G13" s="7" t="inlineStr">
        <x:is>
          <x:t xml:space="preserve">https://classrooms.sfsu.edu/rooms</x:t>
        </x:is>
      </x:c>
      <x:c r="H13" s="7" t="inlineStr">
        <x:is>
          <x:t xml:space="preserve"/>
        </x:is>
      </x:c>
    </x:row>
    <x:row r="14" ht="30" customHeight="1">
      <x:c r="A14" s="5" t="inlineStr">
        <x:is>
          <x:t xml:space="preserve">SEIC 214</x:t>
        </x:is>
      </x:c>
      <x:c r="B14" s="6" t="n">
        <x:f>IFERROR(VALUE(LEFT(SUBSTITUTE($A14,"SEIC ",""),1)),"")</x:f>
        <x:v>2</x:v>
      </x:c>
      <x:c r="C14" s="5" t="inlineStr">
        <x:is>
          <x:t xml:space="preserve">Classroom</x:t>
        </x:is>
      </x:c>
      <x:c r="D14" s="5" t="inlineStr">
        <x:is>
          <x:t xml:space="preserve">Classroom</x:t>
        </x:is>
      </x:c>
      <x:c r="E14" s="5" t="inlineStr">
        <x:is>
          <x:t xml:space="preserve">LCD Projector, HDMI, Doc Cam</x:t>
        </x:is>
      </x:c>
      <x:c r="F14" s="7" t="inlineStr">
        <x:is>
          <x:t xml:space="preserve">Classroom Technology Database</x:t>
        </x:is>
      </x:c>
      <x:c r="G14" s="7" t="inlineStr">
        <x:is>
          <x:t xml:space="preserve">https://classrooms.sfsu.edu/rooms</x:t>
        </x:is>
      </x:c>
      <x:c r="H14" s="7" t="inlineStr">
        <x:is>
          <x:t xml:space="preserve"/>
        </x:is>
      </x:c>
    </x:row>
    <x:row r="15" ht="30" customHeight="1">
      <x:c r="A15" s="5" t="inlineStr">
        <x:is>
          <x:t xml:space="preserve">SEIC 215</x:t>
        </x:is>
      </x:c>
      <x:c r="B15" s="6" t="n">
        <x:f>IFERROR(VALUE(LEFT(SUBSTITUTE($A15,"SEIC ",""),1)),"")</x:f>
        <x:v>2</x:v>
      </x:c>
      <x:c r="C15" s="5" t="inlineStr">
        <x:is>
          <x:t xml:space="preserve">Classroom</x:t>
        </x:is>
      </x:c>
      <x:c r="D15" s="5" t="inlineStr">
        <x:is>
          <x:t xml:space="preserve">Classroom</x:t>
        </x:is>
      </x:c>
      <x:c r="E15" s="5" t="inlineStr">
        <x:is>
          <x:t xml:space="preserve">LCD Projector, HDMI, Mic, Doc Cam</x:t>
        </x:is>
      </x:c>
      <x:c r="F15" s="7" t="inlineStr">
        <x:is>
          <x:t xml:space="preserve">Classroom Technology Database</x:t>
        </x:is>
      </x:c>
      <x:c r="G15" s="7" t="inlineStr">
        <x:is>
          <x:t xml:space="preserve">https://classrooms.sfsu.edu/rooms</x:t>
        </x:is>
      </x:c>
      <x:c r="H15" s="7" t="inlineStr">
        <x:is>
          <x:t xml:space="preserve"/>
        </x:is>
      </x:c>
    </x:row>
    <x:row r="16" ht="30" customHeight="1">
      <x:c r="A16" s="5" t="inlineStr">
        <x:is>
          <x:t xml:space="preserve">SEIC 225</x:t>
        </x:is>
      </x:c>
      <x:c r="B16" s="6" t="n">
        <x:f>IFERROR(VALUE(LEFT(SUBSTITUTE($A16,"SEIC ",""),1)),"")</x:f>
        <x:v>2</x:v>
      </x:c>
      <x:c r="C16" s="5" t="inlineStr">
        <x:is>
          <x:t xml:space="preserve">Classroom</x:t>
        </x:is>
      </x:c>
      <x:c r="D16" s="5" t="inlineStr">
        <x:is>
          <x:t xml:space="preserve">Classroom</x:t>
        </x:is>
      </x:c>
      <x:c r="E16" s="5" t="inlineStr">
        <x:is>
          <x:t xml:space="preserve">LCD TV, HDMI</x:t>
        </x:is>
      </x:c>
      <x:c r="F16" s="7" t="inlineStr">
        <x:is>
          <x:t xml:space="preserve">Classroom Technology Database</x:t>
        </x:is>
      </x:c>
      <x:c r="G16" s="7" t="inlineStr">
        <x:is>
          <x:t xml:space="preserve">https://classrooms.sfsu.edu/rooms</x:t>
        </x:is>
      </x:c>
      <x:c r="H16" s="7" t="inlineStr">
        <x:is>
          <x:t xml:space="preserve"/>
        </x:is>
      </x:c>
    </x:row>
    <x:row r="17" ht="30" customHeight="1">
      <x:c r="A17" s="5" t="inlineStr">
        <x:is>
          <x:t xml:space="preserve">SEIC 306</x:t>
        </x:is>
      </x:c>
      <x:c r="B17" s="6" t="n">
        <x:f>IFERROR(VALUE(LEFT(SUBSTITUTE($A17,"SEIC ",""),1)),"")</x:f>
        <x:v>3</x:v>
      </x:c>
      <x:c r="C17" s="5" t="inlineStr">
        <x:is>
          <x:t xml:space="preserve">Classroom</x:t>
        </x:is>
      </x:c>
      <x:c r="D17" s="5" t="inlineStr">
        <x:is>
          <x:t xml:space="preserve">Classroom</x:t>
        </x:is>
      </x:c>
      <x:c r="E17" s="5" t="inlineStr">
        <x:is>
          <x:t xml:space="preserve">LCD Projector, HDMI</x:t>
        </x:is>
      </x:c>
      <x:c r="F17" s="7" t="inlineStr">
        <x:is>
          <x:t xml:space="preserve">Classroom Technology Database</x:t>
        </x:is>
      </x:c>
      <x:c r="G17" s="7" t="inlineStr">
        <x:is>
          <x:t xml:space="preserve">https://classrooms.sfsu.edu/rooms</x:t>
        </x:is>
      </x:c>
      <x:c r="H17" s="7" t="inlineStr">
        <x:is>
          <x:t xml:space="preserve"/>
        </x:is>
      </x:c>
    </x:row>
    <x:row r="18" ht="30" customHeight="1">
      <x:c r="A18" s="5" t="inlineStr">
        <x:is>
          <x:t xml:space="preserve">SEIC 310</x:t>
        </x:is>
      </x:c>
      <x:c r="B18" s="6" t="n">
        <x:f>IFERROR(VALUE(LEFT(SUBSTITUTE($A18,"SEIC ",""),1)),"")</x:f>
        <x:v>3</x:v>
      </x:c>
      <x:c r="C18" s="5" t="inlineStr">
        <x:is>
          <x:t xml:space="preserve">Classroom</x:t>
        </x:is>
      </x:c>
      <x:c r="D18" s="5" t="inlineStr">
        <x:is>
          <x:t xml:space="preserve">Classroom</x:t>
        </x:is>
      </x:c>
      <x:c r="E18" s="5" t="inlineStr">
        <x:is>
          <x:t xml:space="preserve">LCD TV, HDMI</x:t>
        </x:is>
      </x:c>
      <x:c r="F18" s="7" t="inlineStr">
        <x:is>
          <x:t xml:space="preserve">Classroom Technology Database</x:t>
        </x:is>
      </x:c>
      <x:c r="G18" s="7" t="inlineStr">
        <x:is>
          <x:t xml:space="preserve">https://classrooms.sfsu.edu/rooms</x:t>
        </x:is>
      </x:c>
      <x:c r="H18" s="7" t="inlineStr">
        <x:is>
          <x:t xml:space="preserve"/>
        </x:is>
      </x:c>
    </x:row>
    <x:row r="19" ht="30" customHeight="1">
      <x:c r="A19" s="5" t="inlineStr">
        <x:is>
          <x:t xml:space="preserve">SEIC 312</x:t>
        </x:is>
      </x:c>
      <x:c r="B19" s="6" t="n">
        <x:f>IFERROR(VALUE(LEFT(SUBSTITUTE($A19,"SEIC ",""),1)),"")</x:f>
        <x:v>3</x:v>
      </x:c>
      <x:c r="C19" s="5" t="inlineStr">
        <x:is>
          <x:t xml:space="preserve">Classroom</x:t>
        </x:is>
      </x:c>
      <x:c r="D19" s="5" t="inlineStr">
        <x:is>
          <x:t xml:space="preserve">Classroom</x:t>
        </x:is>
      </x:c>
      <x:c r="E19" s="5" t="inlineStr">
        <x:is>
          <x:t xml:space="preserve">LCD TV, HDMI</x:t>
        </x:is>
      </x:c>
      <x:c r="F19" s="7" t="inlineStr">
        <x:is>
          <x:t xml:space="preserve">Classroom Technology Database</x:t>
        </x:is>
      </x:c>
      <x:c r="G19" s="7" t="inlineStr">
        <x:is>
          <x:t xml:space="preserve">https://classrooms.sfsu.edu/rooms</x:t>
        </x:is>
      </x:c>
      <x:c r="H19" s="7" t="inlineStr">
        <x:is>
          <x:t xml:space="preserve"/>
        </x:is>
      </x:c>
    </x:row>
    <x:row r="20" ht="30" customHeight="1">
      <x:c r="A20" s="5" t="inlineStr">
        <x:is>
          <x:t xml:space="preserve">SEIC 313</x:t>
        </x:is>
      </x:c>
      <x:c r="B20" s="6" t="n">
        <x:f>IFERROR(VALUE(LEFT(SUBSTITUTE($A20,"SEIC ",""),1)),"")</x:f>
        <x:v>3</x:v>
      </x:c>
      <x:c r="C20" s="5" t="inlineStr">
        <x:is>
          <x:t xml:space="preserve">Lab</x:t>
        </x:is>
      </x:c>
      <x:c r="D20" s="5" t="inlineStr">
        <x:is>
          <x:t xml:space="preserve">Lab</x:t>
        </x:is>
      </x:c>
      <x:c r="E20" s="5" t="inlineStr">
        <x:is>
          <x:t xml:space="preserve">LCD Projector, HDMI</x:t>
        </x:is>
      </x:c>
      <x:c r="F20" s="7" t="inlineStr">
        <x:is>
          <x:t xml:space="preserve">Classroom Technology Database</x:t>
        </x:is>
      </x:c>
      <x:c r="G20" s="7" t="inlineStr">
        <x:is>
          <x:t xml:space="preserve">https://classrooms.sfsu.edu/rooms</x:t>
        </x:is>
      </x:c>
      <x:c r="H20" s="7" t="inlineStr">
        <x:is>
          <x:t xml:space="preserve"/>
        </x:is>
      </x:c>
    </x:row>
    <x:row r="21" ht="30" customHeight="1">
      <x:c r="A21" s="5" t="inlineStr">
        <x:is>
          <x:t xml:space="preserve">SEIC 314</x:t>
        </x:is>
      </x:c>
      <x:c r="B21" s="6" t="n">
        <x:f>IFERROR(VALUE(LEFT(SUBSTITUTE($A21,"SEIC ",""),1)),"")</x:f>
        <x:v>3</x:v>
      </x:c>
      <x:c r="C21" s="5" t="inlineStr">
        <x:is>
          <x:t xml:space="preserve">Lab</x:t>
        </x:is>
      </x:c>
      <x:c r="D21" s="5" t="inlineStr">
        <x:is>
          <x:t xml:space="preserve">Lab</x:t>
        </x:is>
      </x:c>
      <x:c r="E21" s="5" t="inlineStr">
        <x:is>
          <x:t xml:space="preserve">LCD Projector, HDMI</x:t>
        </x:is>
      </x:c>
      <x:c r="F21" s="7" t="inlineStr">
        <x:is>
          <x:t xml:space="preserve">Classroom Technology Database</x:t>
        </x:is>
      </x:c>
      <x:c r="G21" s="7" t="inlineStr">
        <x:is>
          <x:t xml:space="preserve">https://classrooms.sfsu.edu/rooms</x:t>
        </x:is>
      </x:c>
      <x:c r="H21" s="7" t="inlineStr">
        <x:is>
          <x:t xml:space="preserve"/>
        </x:is>
      </x:c>
    </x:row>
    <x:row r="22" ht="30" customHeight="1">
      <x:c r="A22" s="5" t="inlineStr">
        <x:is>
          <x:t xml:space="preserve">SEIC 315</x:t>
        </x:is>
      </x:c>
      <x:c r="B22" s="6" t="n">
        <x:f>IFERROR(VALUE(LEFT(SUBSTITUTE($A22,"SEIC ",""),1)),"")</x:f>
        <x:v>3</x:v>
      </x:c>
      <x:c r="C22" s="5" t="inlineStr">
        <x:is>
          <x:t xml:space="preserve">Lab</x:t>
        </x:is>
      </x:c>
      <x:c r="D22" s="5" t="inlineStr">
        <x:is>
          <x:t xml:space="preserve">Lab</x:t>
        </x:is>
      </x:c>
      <x:c r="E22" s="5" t="inlineStr">
        <x:is>
          <x:t xml:space="preserve">LCD Projector, HDMI</x:t>
        </x:is>
      </x:c>
      <x:c r="F22" s="7" t="inlineStr">
        <x:is>
          <x:t xml:space="preserve">Classroom Technology Database</x:t>
        </x:is>
      </x:c>
      <x:c r="G22" s="7" t="inlineStr">
        <x:is>
          <x:t xml:space="preserve">https://classrooms.sfsu.edu/rooms</x:t>
        </x:is>
      </x:c>
      <x:c r="H22" s="7" t="inlineStr">
        <x:is>
          <x:t xml:space="preserve"/>
        </x:is>
      </x:c>
    </x:row>
    <x:row r="23" ht="30" customHeight="1">
      <x:c r="A23" s="5" t="inlineStr">
        <x:is>
          <x:t xml:space="preserve">SEIC 316</x:t>
        </x:is>
      </x:c>
      <x:c r="B23" s="6" t="n">
        <x:f>IFERROR(VALUE(LEFT(SUBSTITUTE($A23,"SEIC ",""),1)),"")</x:f>
        <x:v>3</x:v>
      </x:c>
      <x:c r="C23" s="5" t="inlineStr">
        <x:is>
          <x:t xml:space="preserve">Lab</x:t>
        </x:is>
      </x:c>
      <x:c r="D23" s="5" t="inlineStr">
        <x:is>
          <x:t xml:space="preserve">Lab</x:t>
        </x:is>
      </x:c>
      <x:c r="E23" s="5" t="inlineStr">
        <x:is>
          <x:t xml:space="preserve">LCD Projector, HDMI</x:t>
        </x:is>
      </x:c>
      <x:c r="F23" s="7" t="inlineStr">
        <x:is>
          <x:t xml:space="preserve">Classroom Technology Database</x:t>
        </x:is>
      </x:c>
      <x:c r="G23" s="7" t="inlineStr">
        <x:is>
          <x:t xml:space="preserve">https://classrooms.sfsu.edu/rooms</x:t>
        </x:is>
      </x:c>
      <x:c r="H23" s="7" t="inlineStr">
        <x:is>
          <x:t xml:space="preserve"/>
        </x:is>
      </x:c>
    </x:row>
    <x:row r="24" ht="30" customHeight="1">
      <x:c r="A24" s="5" t="inlineStr">
        <x:is>
          <x:t xml:space="preserve">SEIC 318</x:t>
        </x:is>
      </x:c>
      <x:c r="B24" s="6" t="n">
        <x:f>IFERROR(VALUE(LEFT(SUBSTITUTE($A24,"SEIC ",""),1)),"")</x:f>
        <x:v>3</x:v>
      </x:c>
      <x:c r="C24" s="5" t="inlineStr">
        <x:is>
          <x:t xml:space="preserve">Lab</x:t>
        </x:is>
      </x:c>
      <x:c r="D24" s="5" t="inlineStr">
        <x:is>
          <x:t xml:space="preserve">Lab</x:t>
        </x:is>
      </x:c>
      <x:c r="E24" s="5" t="inlineStr">
        <x:is>
          <x:t xml:space="preserve">LCD Projector, HDMI</x:t>
        </x:is>
      </x:c>
      <x:c r="F24" s="7" t="inlineStr">
        <x:is>
          <x:t xml:space="preserve">Classroom Technology Database</x:t>
        </x:is>
      </x:c>
      <x:c r="G24" s="7" t="inlineStr">
        <x:is>
          <x:t xml:space="preserve">https://classrooms.sfsu.edu/rooms</x:t>
        </x:is>
      </x:c>
      <x:c r="H24" s="7" t="inlineStr">
        <x:is>
          <x:t xml:space="preserve"/>
        </x:is>
      </x:c>
    </x:row>
    <x:row r="25" ht="30" customHeight="1">
      <x:c r="A25" s="5" t="inlineStr">
        <x:is>
          <x:t xml:space="preserve">SEIC 320</x:t>
        </x:is>
      </x:c>
      <x:c r="B25" s="6" t="n">
        <x:f>IFERROR(VALUE(LEFT(SUBSTITUTE($A25,"SEIC ",""),1)),"")</x:f>
        <x:v>3</x:v>
      </x:c>
      <x:c r="C25" s="5" t="inlineStr">
        <x:is>
          <x:t xml:space="preserve">Lab</x:t>
        </x:is>
      </x:c>
      <x:c r="D25" s="5" t="inlineStr">
        <x:is>
          <x:t xml:space="preserve">Lab</x:t>
        </x:is>
      </x:c>
      <x:c r="E25" s="5" t="inlineStr">
        <x:is>
          <x:t xml:space="preserve"/>
        </x:is>
      </x:c>
      <x:c r="F25" s="7" t="inlineStr">
        <x:is>
          <x:t xml:space="preserve">Classroom Technology Database</x:t>
        </x:is>
      </x:c>
      <x:c r="G25" s="7" t="inlineStr">
        <x:is>
          <x:t xml:space="preserve">https://classrooms.sfsu.edu/rooms</x:t>
        </x:is>
      </x:c>
      <x:c r="H25" s="7" t="inlineStr">
        <x:is>
          <x:t xml:space="preserve"/>
        </x:is>
      </x:c>
    </x:row>
    <x:row r="26" ht="30" customHeight="1">
      <x:c r="A26" s="5" t="inlineStr">
        <x:is>
          <x:t xml:space="preserve">SEIC 327</x:t>
        </x:is>
      </x:c>
      <x:c r="B26" s="6" t="n">
        <x:f>IFERROR(VALUE(LEFT(SUBSTITUTE($A26,"SEIC ",""),1)),"")</x:f>
        <x:v>3</x:v>
      </x:c>
      <x:c r="C26" s="5" t="inlineStr">
        <x:is>
          <x:t xml:space="preserve">Conference Room</x:t>
        </x:is>
      </x:c>
      <x:c r="D26" s="5" t="inlineStr">
        <x:is>
          <x:t xml:space="preserve">Conference Room</x:t>
        </x:is>
      </x:c>
      <x:c r="E26" s="5" t="inlineStr">
        <x:is>
          <x:t xml:space="preserve">LCD TV, HDMI</x:t>
        </x:is>
      </x:c>
      <x:c r="F26" s="7" t="inlineStr">
        <x:is>
          <x:t xml:space="preserve">Classroom Technology Database</x:t>
        </x:is>
      </x:c>
      <x:c r="G26" s="7" t="inlineStr">
        <x:is>
          <x:t xml:space="preserve">https://classrooms.sfsu.edu/rooms</x:t>
        </x:is>
      </x:c>
      <x:c r="H26" s="7" t="inlineStr">
        <x:is>
          <x:t xml:space="preserve">Public lecturer page also lists shared offices in SEIC 327.</x:t>
        </x:is>
      </x:c>
    </x:row>
    <x:row r="27" ht="30" customHeight="1">
      <x:c r="A27" s="5" t="inlineStr">
        <x:is>
          <x:t xml:space="preserve">SEIC 400</x:t>
        </x:is>
      </x:c>
      <x:c r="B27" s="6" t="n">
        <x:f>IFERROR(VALUE(LEFT(SUBSTITUTE($A27,"SEIC ",""),1)),"")</x:f>
        <x:v>4</x:v>
      </x:c>
      <x:c r="C27" s="5" t="inlineStr">
        <x:is>
          <x:t xml:space="preserve">Classroom</x:t>
        </x:is>
      </x:c>
      <x:c r="D27" s="5" t="inlineStr">
        <x:is>
          <x:t xml:space="preserve">Classroom</x:t>
        </x:is>
      </x:c>
      <x:c r="E27" s="5" t="inlineStr">
        <x:is>
          <x:t xml:space="preserve">LCD Projector, HDMI</x:t>
        </x:is>
      </x:c>
      <x:c r="F27" s="7" t="inlineStr">
        <x:is>
          <x:t xml:space="preserve">Classroom Technology Database</x:t>
        </x:is>
      </x:c>
      <x:c r="G27" s="7" t="inlineStr">
        <x:is>
          <x:t xml:space="preserve">https://classrooms.sfsu.edu/rooms</x:t>
        </x:is>
      </x:c>
      <x:c r="H27" s="7" t="inlineStr">
        <x:is>
          <x:t xml:space="preserve"/>
        </x:is>
      </x:c>
    </x:row>
    <x:row r="28" ht="30" customHeight="1">
      <x:c r="A28" s="5" t="inlineStr">
        <x:is>
          <x:t xml:space="preserve">SEIC 401</x:t>
        </x:is>
      </x:c>
      <x:c r="B28" s="6" t="n">
        <x:f>IFERROR(VALUE(LEFT(SUBSTITUTE($A28,"SEIC ",""),1)),"")</x:f>
        <x:v>4</x:v>
      </x:c>
      <x:c r="C28" s="5" t="inlineStr">
        <x:is>
          <x:t xml:space="preserve">Classroom</x:t>
        </x:is>
      </x:c>
      <x:c r="D28" s="5" t="inlineStr">
        <x:is>
          <x:t xml:space="preserve">Classroom</x:t>
        </x:is>
      </x:c>
      <x:c r="E28" s="5" t="inlineStr">
        <x:is>
          <x:t xml:space="preserve">LCD Projector, HDMI</x:t>
        </x:is>
      </x:c>
      <x:c r="F28" s="7" t="inlineStr">
        <x:is>
          <x:t xml:space="preserve">Classroom Technology Database</x:t>
        </x:is>
      </x:c>
      <x:c r="G28" s="7" t="inlineStr">
        <x:is>
          <x:t xml:space="preserve">https://classrooms.sfsu.edu/rooms</x:t>
        </x:is>
      </x:c>
      <x:c r="H28" s="7" t="inlineStr">
        <x:is>
          <x:t xml:space="preserve"/>
        </x:is>
      </x:c>
    </x:row>
    <x:row r="29" ht="30" customHeight="1">
      <x:c r="A29" s="5" t="inlineStr">
        <x:is>
          <x:t xml:space="preserve">SEIC 402</x:t>
        </x:is>
      </x:c>
      <x:c r="B29" s="6" t="n">
        <x:f>IFERROR(VALUE(LEFT(SUBSTITUTE($A29,"SEIC ",""),1)),"")</x:f>
        <x:v>4</x:v>
      </x:c>
      <x:c r="C29" s="5" t="inlineStr">
        <x:is>
          <x:t xml:space="preserve">Classroom</x:t>
        </x:is>
      </x:c>
      <x:c r="D29" s="5" t="inlineStr">
        <x:is>
          <x:t xml:space="preserve">Classroom</x:t>
        </x:is>
      </x:c>
      <x:c r="E29" s="5" t="inlineStr">
        <x:is>
          <x:t xml:space="preserve">LCD Projector, LCD TV, HDMI, Zoom Enabled</x:t>
        </x:is>
      </x:c>
      <x:c r="F29" s="7" t="inlineStr">
        <x:is>
          <x:t xml:space="preserve">Classroom Technology Database</x:t>
        </x:is>
      </x:c>
      <x:c r="G29" s="7" t="inlineStr">
        <x:is>
          <x:t xml:space="preserve">https://classrooms.sfsu.edu/rooms</x:t>
        </x:is>
      </x:c>
      <x:c r="H29" s="7" t="inlineStr">
        <x:is>
          <x:t xml:space="preserve"/>
        </x:is>
      </x:c>
    </x:row>
    <x:row r="30" ht="30" customHeight="1">
      <x:c r="A30" s="5" t="inlineStr">
        <x:is>
          <x:t xml:space="preserve">SEIC 403</x:t>
        </x:is>
      </x:c>
      <x:c r="B30" s="6" t="n">
        <x:f>IFERROR(VALUE(LEFT(SUBSTITUTE($A30,"SEIC ",""),1)),"")</x:f>
        <x:v>4</x:v>
      </x:c>
      <x:c r="C30" s="5" t="inlineStr">
        <x:is>
          <x:t xml:space="preserve">Classroom</x:t>
        </x:is>
      </x:c>
      <x:c r="D30" s="5" t="inlineStr">
        <x:is>
          <x:t xml:space="preserve">Classroom</x:t>
        </x:is>
      </x:c>
      <x:c r="E30" s="5" t="inlineStr">
        <x:is>
          <x:t xml:space="preserve">LCD Projector, HDMI</x:t>
        </x:is>
      </x:c>
      <x:c r="F30" s="7" t="inlineStr">
        <x:is>
          <x:t xml:space="preserve">Classroom Technology Database</x:t>
        </x:is>
      </x:c>
      <x:c r="G30" s="7" t="inlineStr">
        <x:is>
          <x:t xml:space="preserve">https://classrooms.sfsu.edu/rooms</x:t>
        </x:is>
      </x:c>
      <x:c r="H30" s="7" t="inlineStr">
        <x:is>
          <x:t xml:space="preserve"/>
        </x:is>
      </x:c>
    </x:row>
    <x:row r="31" ht="30" customHeight="1">
      <x:c r="A31" s="5" t="inlineStr">
        <x:is>
          <x:t xml:space="preserve">SEIC 404</x:t>
        </x:is>
      </x:c>
      <x:c r="B31" s="6" t="n">
        <x:f>IFERROR(VALUE(LEFT(SUBSTITUTE($A31,"SEIC ",""),1)),"")</x:f>
        <x:v>4</x:v>
      </x:c>
      <x:c r="C31" s="5" t="inlineStr">
        <x:is>
          <x:t xml:space="preserve">Lab</x:t>
        </x:is>
      </x:c>
      <x:c r="D31" s="5" t="inlineStr">
        <x:is>
          <x:t xml:space="preserve">Lab</x:t>
        </x:is>
      </x:c>
      <x:c r="E31" s="5" t="inlineStr">
        <x:is>
          <x:t xml:space="preserve">LCD Projector, HDMI</x:t>
        </x:is>
      </x:c>
      <x:c r="F31" s="7" t="inlineStr">
        <x:is>
          <x:t xml:space="preserve">Classroom Technology Database</x:t>
        </x:is>
      </x:c>
      <x:c r="G31" s="7" t="inlineStr">
        <x:is>
          <x:t xml:space="preserve">https://classrooms.sfsu.edu/rooms</x:t>
        </x:is>
      </x:c>
      <x:c r="H31" s="7" t="inlineStr">
        <x:is>
          <x:t xml:space="preserve"/>
        </x:is>
      </x:c>
    </x:row>
    <x:row r="32" ht="30" customHeight="1">
      <x:c r="A32" s="5" t="inlineStr">
        <x:is>
          <x:t xml:space="preserve">SEIC 409</x:t>
        </x:is>
      </x:c>
      <x:c r="B32" s="6" t="n">
        <x:f>IFERROR(VALUE(LEFT(SUBSTITUTE($A32,"SEIC ",""),1)),"")</x:f>
        <x:v>4</x:v>
      </x:c>
      <x:c r="C32" s="5" t="inlineStr">
        <x:is>
          <x:t xml:space="preserve">Study Room</x:t>
        </x:is>
      </x:c>
      <x:c r="D32" s="5" t="inlineStr">
        <x:is>
          <x:t xml:space="preserve">Study Room</x:t>
        </x:is>
      </x:c>
      <x:c r="E32" s="5" t="inlineStr">
        <x:is>
          <x:t xml:space="preserve">LCD TV, HDMI</x:t>
        </x:is>
      </x:c>
      <x:c r="F32" s="7" t="inlineStr">
        <x:is>
          <x:t xml:space="preserve">Classroom Technology Database</x:t>
        </x:is>
      </x:c>
      <x:c r="G32" s="7" t="inlineStr">
        <x:is>
          <x:t xml:space="preserve">https://classrooms.sfsu.edu/rooms</x:t>
        </x:is>
      </x:c>
      <x:c r="H32" s="7" t="inlineStr">
        <x:is>
          <x:t xml:space="preserve"/>
        </x:is>
      </x:c>
    </x:row>
    <x:row r="33" ht="30" customHeight="1">
      <x:c r="A33" s="5" t="inlineStr">
        <x:is>
          <x:t xml:space="preserve">SEIC 410</x:t>
        </x:is>
      </x:c>
      <x:c r="B33" s="6" t="n">
        <x:f>IFERROR(VALUE(LEFT(SUBSTITUTE($A33,"SEIC ",""),1)),"")</x:f>
        <x:v>4</x:v>
      </x:c>
      <x:c r="C33" s="5" t="inlineStr">
        <x:is>
          <x:t xml:space="preserve">Study Room</x:t>
        </x:is>
      </x:c>
      <x:c r="D33" s="5" t="inlineStr">
        <x:is>
          <x:t xml:space="preserve">Study Room</x:t>
        </x:is>
      </x:c>
      <x:c r="E33" s="5" t="inlineStr">
        <x:is>
          <x:t xml:space="preserve">LCD TV, HDMI</x:t>
        </x:is>
      </x:c>
      <x:c r="F33" s="7" t="inlineStr">
        <x:is>
          <x:t xml:space="preserve">Classroom Technology Database</x:t>
        </x:is>
      </x:c>
      <x:c r="G33" s="7" t="inlineStr">
        <x:is>
          <x:t xml:space="preserve">https://classrooms.sfsu.edu/rooms</x:t>
        </x:is>
      </x:c>
      <x:c r="H33" s="7" t="inlineStr">
        <x:is>
          <x:t xml:space="preserve"/>
        </x:is>
      </x:c>
    </x:row>
    <x:row r="34" ht="30" customHeight="1">
      <x:c r="A34" s="5" t="inlineStr">
        <x:is>
          <x:t xml:space="preserve">SEIC 411</x:t>
        </x:is>
      </x:c>
      <x:c r="B34" s="6" t="n">
        <x:f>IFERROR(VALUE(LEFT(SUBSTITUTE($A34,"SEIC ",""),1)),"")</x:f>
        <x:v>4</x:v>
      </x:c>
      <x:c r="C34" s="5" t="inlineStr">
        <x:is>
          <x:t xml:space="preserve">Conference Room</x:t>
        </x:is>
      </x:c>
      <x:c r="D34" s="5" t="inlineStr">
        <x:is>
          <x:t xml:space="preserve">Conference Room</x:t>
        </x:is>
      </x:c>
      <x:c r="E34" s="5" t="inlineStr">
        <x:is>
          <x:t xml:space="preserve">LCD Projector, HDMI, Zoom Enabled</x:t>
        </x:is>
      </x:c>
      <x:c r="F34" s="7" t="inlineStr">
        <x:is>
          <x:t xml:space="preserve">Classroom Technology Database</x:t>
        </x:is>
      </x:c>
      <x:c r="G34" s="7" t="inlineStr">
        <x:is>
          <x:t xml:space="preserve">https://classrooms.sfsu.edu/rooms</x:t>
        </x:is>
      </x:c>
      <x:c r="H34" s="7" t="inlineStr">
        <x:is>
          <x:t xml:space="preserve"/>
        </x:is>
      </x:c>
    </x:row>
    <x:row r="35" ht="30" customHeight="1">
      <x:c r="A35" s="5" t="inlineStr">
        <x:is>
          <x:t xml:space="preserve">SEIC 412</x:t>
        </x:is>
      </x:c>
      <x:c r="B35" s="6" t="n">
        <x:f>IFERROR(VALUE(LEFT(SUBSTITUTE($A35,"SEIC ",""),1)),"")</x:f>
        <x:v>4</x:v>
      </x:c>
      <x:c r="C35" s="5" t="inlineStr">
        <x:is>
          <x:t xml:space="preserve">Classroom</x:t>
        </x:is>
      </x:c>
      <x:c r="D35" s="5" t="inlineStr">
        <x:is>
          <x:t xml:space="preserve">Classroom</x:t>
        </x:is>
      </x:c>
      <x:c r="E35" s="5" t="inlineStr">
        <x:is>
          <x:t xml:space="preserve">LCD Projector, HDMI</x:t>
        </x:is>
      </x:c>
      <x:c r="F35" s="7" t="inlineStr">
        <x:is>
          <x:t xml:space="preserve">Classroom Technology Database</x:t>
        </x:is>
      </x:c>
      <x:c r="G35" s="7" t="inlineStr">
        <x:is>
          <x:t xml:space="preserve">https://classrooms.sfsu.edu/rooms</x:t>
        </x:is>
      </x:c>
      <x:c r="H35" s="7" t="inlineStr">
        <x:is>
          <x:t xml:space="preserve"/>
        </x:is>
      </x:c>
    </x:row>
    <x:row r="36" ht="30" customHeight="1">
      <x:c r="A36" s="5" t="inlineStr">
        <x:is>
          <x:t xml:space="preserve">SEIC 414</x:t>
        </x:is>
      </x:c>
      <x:c r="B36" s="6" t="n">
        <x:f>IFERROR(VALUE(LEFT(SUBSTITUTE($A36,"SEIC ",""),1)),"")</x:f>
        <x:v>4</x:v>
      </x:c>
      <x:c r="C36" s="5" t="inlineStr">
        <x:is>
          <x:t xml:space="preserve">Classroom</x:t>
        </x:is>
      </x:c>
      <x:c r="D36" s="5" t="inlineStr">
        <x:is>
          <x:t xml:space="preserve">Classroom</x:t>
        </x:is>
      </x:c>
      <x:c r="E36" s="5" t="inlineStr">
        <x:is>
          <x:t xml:space="preserve">LCD Projector, HDMI</x:t>
        </x:is>
      </x:c>
      <x:c r="F36" s="7" t="inlineStr">
        <x:is>
          <x:t xml:space="preserve">Classroom Technology Database</x:t>
        </x:is>
      </x:c>
      <x:c r="G36" s="7" t="inlineStr">
        <x:is>
          <x:t xml:space="preserve">https://classrooms.sfsu.edu/rooms</x:t>
        </x:is>
      </x:c>
      <x:c r="H36" s="7" t="inlineStr">
        <x:is>
          <x:t xml:space="preserve"/>
        </x:is>
      </x:c>
    </x:row>
    <x:row r="37" ht="30" customHeight="1">
      <x:c r="A37" s="5" t="inlineStr">
        <x:is>
          <x:t xml:space="preserve">SEIC 416</x:t>
        </x:is>
      </x:c>
      <x:c r="B37" s="6" t="n">
        <x:f>IFERROR(VALUE(LEFT(SUBSTITUTE($A37,"SEIC ",""),1)),"")</x:f>
        <x:v>4</x:v>
      </x:c>
      <x:c r="C37" s="5" t="inlineStr">
        <x:is>
          <x:t xml:space="preserve">Classroom</x:t>
        </x:is>
      </x:c>
      <x:c r="D37" s="5" t="inlineStr">
        <x:is>
          <x:t xml:space="preserve">Classroom</x:t>
        </x:is>
      </x:c>
      <x:c r="E37" s="5" t="inlineStr">
        <x:is>
          <x:t xml:space="preserve">LCD Projector, HDMI</x:t>
        </x:is>
      </x:c>
      <x:c r="F37" s="7" t="inlineStr">
        <x:is>
          <x:t xml:space="preserve">Classroom Technology Database</x:t>
        </x:is>
      </x:c>
      <x:c r="G37" s="7" t="inlineStr">
        <x:is>
          <x:t xml:space="preserve">https://classrooms.sfsu.edu/rooms</x:t>
        </x:is>
      </x:c>
      <x:c r="H37" s="7" t="inlineStr">
        <x:is>
          <x:t xml:space="preserve"/>
        </x:is>
      </x:c>
    </x:row>
    <x:row r="38" ht="30" customHeight="1">
      <x:c r="A38" s="5" t="inlineStr">
        <x:is>
          <x:t xml:space="preserve">SEIC 417</x:t>
        </x:is>
      </x:c>
      <x:c r="B38" s="6" t="n">
        <x:f>IFERROR(VALUE(LEFT(SUBSTITUTE($A38,"SEIC ",""),1)),"")</x:f>
        <x:v>4</x:v>
      </x:c>
      <x:c r="C38" s="5" t="inlineStr">
        <x:is>
          <x:t xml:space="preserve">Classroom</x:t>
        </x:is>
      </x:c>
      <x:c r="D38" s="5" t="inlineStr">
        <x:is>
          <x:t xml:space="preserve">Classroom</x:t>
        </x:is>
      </x:c>
      <x:c r="E38" s="5" t="inlineStr">
        <x:is>
          <x:t xml:space="preserve">LCD Projector, HDMI</x:t>
        </x:is>
      </x:c>
      <x:c r="F38" s="7" t="inlineStr">
        <x:is>
          <x:t xml:space="preserve">Classroom Technology Database</x:t>
        </x:is>
      </x:c>
      <x:c r="G38" s="7" t="inlineStr">
        <x:is>
          <x:t xml:space="preserve">https://classrooms.sfsu.edu/rooms</x:t>
        </x:is>
      </x:c>
      <x:c r="H38" s="7" t="inlineStr">
        <x:is>
          <x:t xml:space="preserve"/>
        </x:is>
      </x:c>
    </x:row>
    <x:row r="39" ht="30" customHeight="1">
      <x:c r="A39" s="5" t="inlineStr">
        <x:is>
          <x:t xml:space="preserve">SEIC 500</x:t>
        </x:is>
      </x:c>
      <x:c r="B39" s="6" t="n">
        <x:f>IFERROR(VALUE(LEFT(SUBSTITUTE($A39,"SEIC ",""),1)),"")</x:f>
        <x:v>5</x:v>
      </x:c>
      <x:c r="C39" s="5" t="inlineStr">
        <x:is>
          <x:t xml:space="preserve">Classroom</x:t>
        </x:is>
      </x:c>
      <x:c r="D39" s="5" t="inlineStr">
        <x:is>
          <x:t xml:space="preserve">Classroom</x:t>
        </x:is>
      </x:c>
      <x:c r="E39" s="5" t="inlineStr">
        <x:is>
          <x:t xml:space="preserve">LCD TV, HDMI</x:t>
        </x:is>
      </x:c>
      <x:c r="F39" s="7" t="inlineStr">
        <x:is>
          <x:t xml:space="preserve">Classroom Technology Database</x:t>
        </x:is>
      </x:c>
      <x:c r="G39" s="7" t="inlineStr">
        <x:is>
          <x:t xml:space="preserve">https://classrooms.sfsu.edu/rooms</x:t>
        </x:is>
      </x:c>
      <x:c r="H39" s="7" t="inlineStr">
        <x:is>
          <x:t xml:space="preserve"/>
        </x:is>
      </x:c>
    </x:row>
    <x:row r="40" ht="30" customHeight="1">
      <x:c r="A40" s="5" t="inlineStr">
        <x:is>
          <x:t xml:space="preserve">SEIC 501</x:t>
        </x:is>
      </x:c>
      <x:c r="B40" s="6" t="n">
        <x:f>IFERROR(VALUE(LEFT(SUBSTITUTE($A40,"SEIC ",""),1)),"")</x:f>
        <x:v>5</x:v>
      </x:c>
      <x:c r="C40" s="5" t="inlineStr">
        <x:is>
          <x:t xml:space="preserve">Classroom</x:t>
        </x:is>
      </x:c>
      <x:c r="D40" s="5" t="inlineStr">
        <x:is>
          <x:t xml:space="preserve">Classroom</x:t>
        </x:is>
      </x:c>
      <x:c r="E40" s="5" t="inlineStr">
        <x:is>
          <x:t xml:space="preserve">LCD TV, HDMI</x:t>
        </x:is>
      </x:c>
      <x:c r="F40" s="7" t="inlineStr">
        <x:is>
          <x:t xml:space="preserve">Classroom Technology Database</x:t>
        </x:is>
      </x:c>
      <x:c r="G40" s="7" t="inlineStr">
        <x:is>
          <x:t xml:space="preserve">https://classrooms.sfsu.edu/rooms</x:t>
        </x:is>
      </x:c>
      <x:c r="H40" s="7" t="inlineStr">
        <x:is>
          <x:t xml:space="preserve"/>
        </x:is>
      </x:c>
    </x:row>
    <x:row r="41" ht="30" customHeight="1">
      <x:c r="A41" s="5" t="inlineStr">
        <x:is>
          <x:t xml:space="preserve">SEIC 502A</x:t>
        </x:is>
      </x:c>
      <x:c r="B41" s="6" t="n">
        <x:f>IFERROR(VALUE(LEFT(SUBSTITUTE($A41,"SEIC ",""),1)),"")</x:f>
        <x:v>5</x:v>
      </x:c>
      <x:c r="C41" s="5" t="inlineStr">
        <x:is>
          <x:t xml:space="preserve">Conference Room</x:t>
        </x:is>
      </x:c>
      <x:c r="D41" s="5" t="inlineStr">
        <x:is>
          <x:t xml:space="preserve">Conference Room</x:t>
        </x:is>
      </x:c>
      <x:c r="E41" s="5" t="inlineStr">
        <x:is>
          <x:t xml:space="preserve">LCD TV, HDMI</x:t>
        </x:is>
      </x:c>
      <x:c r="F41" s="7" t="inlineStr">
        <x:is>
          <x:t xml:space="preserve">Classroom Technology Database</x:t>
        </x:is>
      </x:c>
      <x:c r="G41" s="7" t="inlineStr">
        <x:is>
          <x:t xml:space="preserve">https://classrooms.sfsu.edu/rooms</x:t>
        </x:is>
      </x:c>
      <x:c r="H41" s="7" t="inlineStr">
        <x:is>
          <x:t xml:space="preserve"/>
        </x:is>
      </x:c>
    </x:row>
    <x:row r="42" ht="30" customHeight="1">
      <x:c r="A42" s="5" t="inlineStr">
        <x:is>
          <x:t xml:space="preserve">SEIC 510</x:t>
        </x:is>
      </x:c>
      <x:c r="B42" s="6" t="n">
        <x:f>IFERROR(VALUE(LEFT(SUBSTITUTE($A42,"SEIC ",""),1)),"")</x:f>
        <x:v>5</x:v>
      </x:c>
      <x:c r="C42" s="5" t="inlineStr">
        <x:is>
          <x:t xml:space="preserve">Conference Room</x:t>
        </x:is>
      </x:c>
      <x:c r="D42" s="5" t="inlineStr">
        <x:is>
          <x:t xml:space="preserve">Conference Room</x:t>
        </x:is>
      </x:c>
      <x:c r="E42" s="5" t="inlineStr">
        <x:is>
          <x:t xml:space="preserve">LCD TV, HDMI</x:t>
        </x:is>
      </x:c>
      <x:c r="F42" s="7" t="inlineStr">
        <x:is>
          <x:t xml:space="preserve">Classroom Technology Database</x:t>
        </x:is>
      </x:c>
      <x:c r="G42" s="7" t="inlineStr">
        <x:is>
          <x:t xml:space="preserve">https://classrooms.sfsu.edu/rooms</x:t>
        </x:is>
      </x:c>
      <x:c r="H42" s="7" t="inlineStr">
        <x:is>
          <x:t xml:space="preserve"/>
        </x:is>
      </x:c>
    </x:row>
    <x:row r="43" ht="30" customHeight="1">
      <x:c r="A43" s="5" t="inlineStr">
        <x:is>
          <x:t xml:space="preserve">SEIC 511</x:t>
        </x:is>
      </x:c>
      <x:c r="B43" s="6" t="n">
        <x:f>IFERROR(VALUE(LEFT(SUBSTITUTE($A43,"SEIC ",""),1)),"")</x:f>
        <x:v>5</x:v>
      </x:c>
      <x:c r="C43" s="5" t="inlineStr">
        <x:is>
          <x:t xml:space="preserve">Conference Room</x:t>
        </x:is>
      </x:c>
      <x:c r="D43" s="5" t="inlineStr">
        <x:is>
          <x:t xml:space="preserve">Conference Room</x:t>
        </x:is>
      </x:c>
      <x:c r="E43" s="5" t="inlineStr">
        <x:is>
          <x:t xml:space="preserve">LCD TV, HDMI</x:t>
        </x:is>
      </x:c>
      <x:c r="F43" s="7" t="inlineStr">
        <x:is>
          <x:t xml:space="preserve">Classroom Technology Database</x:t>
        </x:is>
      </x:c>
      <x:c r="G43" s="7" t="inlineStr">
        <x:is>
          <x:t xml:space="preserve">https://classrooms.sfsu.edu/rooms</x:t>
        </x:is>
      </x:c>
      <x:c r="H43" s="7" t="inlineStr">
        <x:is>
          <x:t xml:space="preserve"/>
        </x:is>
      </x:c>
    </x:row>
    <x:row r="44" ht="30" customHeight="1">
      <x:c r="A44" s="5" t="inlineStr">
        <x:is>
          <x:t xml:space="preserve">SEIC 512A</x:t>
        </x:is>
      </x:c>
      <x:c r="B44" s="6" t="n">
        <x:f>IFERROR(VALUE(LEFT(SUBSTITUTE($A44,"SEIC ",""),1)),"")</x:f>
        <x:v>5</x:v>
      </x:c>
      <x:c r="C44" s="5" t="inlineStr">
        <x:is>
          <x:t xml:space="preserve">Meeting Room</x:t>
        </x:is>
      </x:c>
      <x:c r="D44" s="5" t="inlineStr">
        <x:is>
          <x:t xml:space="preserve">Meeting Room</x:t>
        </x:is>
      </x:c>
      <x:c r="E44" s="5" t="inlineStr">
        <x:is>
          <x:t xml:space="preserve">LCD TV, HDMI</x:t>
        </x:is>
      </x:c>
      <x:c r="F44" s="7" t="inlineStr">
        <x:is>
          <x:t xml:space="preserve">Classroom Technology Database</x:t>
        </x:is>
      </x:c>
      <x:c r="G44" s="7" t="inlineStr">
        <x:is>
          <x:t xml:space="preserve">https://classrooms.sfsu.edu/rooms</x:t>
        </x:is>
      </x:c>
      <x:c r="H44" s="7" t="inlineStr">
        <x:is>
          <x:t xml:space="preserve">Separate public CoSE contact page lists SEIC 512 (without 'A') as the college office.</x:t>
        </x:is>
      </x:c>
    </x:row>
    <x:row r="45" ht="30" customHeight="1">
      <x:c r="A45" s="5" t="inlineStr">
        <x:is>
          <x:t xml:space="preserve">SEIC 513</x:t>
        </x:is>
      </x:c>
      <x:c r="B45" s="6" t="n">
        <x:f>IFERROR(VALUE(LEFT(SUBSTITUTE($A45,"SEIC ",""),1)),"")</x:f>
        <x:v>5</x:v>
      </x:c>
      <x:c r="C45" s="5" t="inlineStr">
        <x:is>
          <x:t xml:space="preserve">Conference Room</x:t>
        </x:is>
      </x:c>
      <x:c r="D45" s="5" t="inlineStr">
        <x:is>
          <x:t xml:space="preserve">Conference Room</x:t>
        </x:is>
      </x:c>
      <x:c r="E45" s="5" t="inlineStr">
        <x:is>
          <x:t xml:space="preserve">LCD TV, HDMI</x:t>
        </x:is>
      </x:c>
      <x:c r="F45" s="7" t="inlineStr">
        <x:is>
          <x:t xml:space="preserve">Classroom Technology Database</x:t>
        </x:is>
      </x:c>
      <x:c r="G45" s="7" t="inlineStr">
        <x:is>
          <x:t xml:space="preserve">https://classrooms.sfsu.edu/rooms</x:t>
        </x:is>
      </x:c>
      <x:c r="H45" s="7" t="inlineStr">
        <x:is>
          <x:t xml:space="preserve"/>
        </x:is>
      </x:c>
    </x:row>
    <x:row r="46" ht="30" customHeight="1">
      <x:c r="A46" s="5" t="inlineStr">
        <x:is>
          <x:t xml:space="preserve">SEIC 515</x:t>
        </x:is>
      </x:c>
      <x:c r="B46" s="6" t="n">
        <x:f>IFERROR(VALUE(LEFT(SUBSTITUTE($A46,"SEIC ",""),1)),"")</x:f>
        <x:v>5</x:v>
      </x:c>
      <x:c r="C46" s="5" t="inlineStr">
        <x:is>
          <x:t xml:space="preserve">Classroom</x:t>
        </x:is>
      </x:c>
      <x:c r="D46" s="5" t="inlineStr">
        <x:is>
          <x:t xml:space="preserve">Classroom</x:t>
        </x:is>
      </x:c>
      <x:c r="E46" s="5" t="inlineStr">
        <x:is>
          <x:t xml:space="preserve">LCD TV, HDMI</x:t>
        </x:is>
      </x:c>
      <x:c r="F46" s="7" t="inlineStr">
        <x:is>
          <x:t xml:space="preserve">Classroom Technology Database</x:t>
        </x:is>
      </x:c>
      <x:c r="G46" s="7" t="inlineStr">
        <x:is>
          <x:t xml:space="preserve">https://classrooms.sfsu.edu/rooms</x:t>
        </x:is>
      </x:c>
      <x:c r="H46" s="7" t="inlineStr">
        <x:is>
          <x:t xml:space="preserve"/>
        </x:is>
      </x:c>
    </x:row>
    <x:row r="47" ht="30" customHeight="1">
      <x:c r="A47" s="5" t="inlineStr">
        <x:is>
          <x:t xml:space="preserve">SEIC 516</x:t>
        </x:is>
      </x:c>
      <x:c r="B47" s="6" t="n">
        <x:f>IFERROR(VALUE(LEFT(SUBSTITUTE($A47,"SEIC ",""),1)),"")</x:f>
        <x:v>5</x:v>
      </x:c>
      <x:c r="C47" s="5" t="inlineStr">
        <x:is>
          <x:t xml:space="preserve">Classroom</x:t>
        </x:is>
      </x:c>
      <x:c r="D47" s="5" t="inlineStr">
        <x:is>
          <x:t xml:space="preserve">Classroom</x:t>
        </x:is>
      </x:c>
      <x:c r="E47" s="5" t="inlineStr">
        <x:is>
          <x:t xml:space="preserve">LCD TV, HDMI</x:t>
        </x:is>
      </x:c>
      <x:c r="F47" s="7" t="inlineStr">
        <x:is>
          <x:t xml:space="preserve">Classroom Technology Database</x:t>
        </x:is>
      </x:c>
      <x:c r="G47" s="7" t="inlineStr">
        <x:is>
          <x:t xml:space="preserve">https://classrooms.sfsu.edu/rooms</x:t>
        </x:is>
      </x:c>
      <x:c r="H47" s="7" t="inlineStr">
        <x:is>
          <x:t xml:space="preserve"/>
        </x:is>
      </x:c>
    </x:row>
    <x:row r="48" ht="30" customHeight="1">
      <x:c r="A48" s="5" t="inlineStr">
        <x:is>
          <x:t xml:space="preserve">SEIC 517</x:t>
        </x:is>
      </x:c>
      <x:c r="B48" s="6" t="n">
        <x:f>IFERROR(VALUE(LEFT(SUBSTITUTE($A48,"SEIC ",""),1)),"")</x:f>
        <x:v>5</x:v>
      </x:c>
      <x:c r="C48" s="5" t="inlineStr">
        <x:is>
          <x:t xml:space="preserve">Classroom</x:t>
        </x:is>
      </x:c>
      <x:c r="D48" s="5" t="inlineStr">
        <x:is>
          <x:t xml:space="preserve">Classroom</x:t>
        </x:is>
      </x:c>
      <x:c r="E48" s="5" t="inlineStr">
        <x:is>
          <x:t xml:space="preserve">LCD TV, HDMI</x:t>
        </x:is>
      </x:c>
      <x:c r="F48" s="7" t="inlineStr">
        <x:is>
          <x:t xml:space="preserve">Classroom Technology Database</x:t>
        </x:is>
      </x:c>
      <x:c r="G48" s="7" t="inlineStr">
        <x:is>
          <x:t xml:space="preserve">https://classrooms.sfsu.edu/rooms</x:t>
        </x:is>
      </x:c>
      <x:c r="H48" s="7" t="inlineStr">
        <x:is>
          <x:t xml:space="preserve"/>
        </x:is>
      </x:c>
    </x:row>
    <x:row r="49" ht="30" customHeight="1">
      <x:c r="A49" s="5" t="inlineStr">
        <x:is>
          <x:t xml:space="preserve">SEIC 518</x:t>
        </x:is>
      </x:c>
      <x:c r="B49" s="6" t="n">
        <x:f>IFERROR(VALUE(LEFT(SUBSTITUTE($A49,"SEIC ",""),1)),"")</x:f>
        <x:v>5</x:v>
      </x:c>
      <x:c r="C49" s="5" t="inlineStr">
        <x:is>
          <x:t xml:space="preserve">Classroom</x:t>
        </x:is>
      </x:c>
      <x:c r="D49" s="5" t="inlineStr">
        <x:is>
          <x:t xml:space="preserve">Classroom</x:t>
        </x:is>
      </x:c>
      <x:c r="E49" s="5" t="inlineStr">
        <x:is>
          <x:t xml:space="preserve">LCD TV, HDMI</x:t>
        </x:is>
      </x:c>
      <x:c r="F49" s="7" t="inlineStr">
        <x:is>
          <x:t xml:space="preserve">Classroom Technology Database</x:t>
        </x:is>
      </x:c>
      <x:c r="G49" s="7" t="inlineStr">
        <x:is>
          <x:t xml:space="preserve">https://classrooms.sfsu.edu/rooms</x:t>
        </x:is>
      </x:c>
      <x:c r="H49" s="7" t="inlineStr">
        <x:is>
          <x:t xml:space="preserve"/>
        </x:is>
      </x:c>
    </x:row>
    <x:row r="50" ht="30" customHeight="1">
      <x:c r="A50" s="5" t="inlineStr">
        <x:is>
          <x:t xml:space="preserve">SEIC 519</x:t>
        </x:is>
      </x:c>
      <x:c r="B50" s="6" t="n">
        <x:f>IFERROR(VALUE(LEFT(SUBSTITUTE($A50,"SEIC ",""),1)),"")</x:f>
        <x:v>5</x:v>
      </x:c>
      <x:c r="C50" s="5" t="inlineStr">
        <x:is>
          <x:t xml:space="preserve">Classroom</x:t>
        </x:is>
      </x:c>
      <x:c r="D50" s="5" t="inlineStr">
        <x:is>
          <x:t xml:space="preserve">Classroom</x:t>
        </x:is>
      </x:c>
      <x:c r="E50" s="5" t="inlineStr">
        <x:is>
          <x:t xml:space="preserve">LCD TV, HDMI, Zoom Enabled</x:t>
        </x:is>
      </x:c>
      <x:c r="F50" s="7" t="inlineStr">
        <x:is>
          <x:t xml:space="preserve">Classroom Technology Database</x:t>
        </x:is>
      </x:c>
      <x:c r="G50" s="7" t="inlineStr">
        <x:is>
          <x:t xml:space="preserve">https://classrooms.sfsu.edu/rooms</x:t>
        </x:is>
      </x:c>
      <x:c r="H50" s="7" t="inlineStr">
        <x:is>
          <x:t xml:space="preserve"/>
        </x:is>
      </x:c>
    </x:row>
  </x:sheetData>
  <x:conditionalFormatting sqref="H2:H50">
    <x:cfRule type="expression" dxfId="0" priority="1">
      <x:formula>LEN(H2)&gt;0</x:formula>
    </x:cfRule>
  </x:conditionalFormatting>
  <x:pageMargins left="0.7" right="0.7" top="0.75" bottom="0.75" header="0.3" footer="0.3"/>
  <x:legacyDrawing xmlns:r="http://schemas.openxmlformats.org/officeDocument/2006/relationships" r:id="R1d13885c49a748c2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0" customWidth="1"/>
    <x:col min="3" max="3" width="28" customWidth="1"/>
    <x:col min="4" max="4" width="14" customWidth="1"/>
    <x:col min="5" max="5" width="8" customWidth="1"/>
    <x:col min="6" max="6" width="52" customWidth="1"/>
    <x:col min="7" max="7" width="22" customWidth="1"/>
    <x:col min="8" max="8" width="36" customWidth="1"/>
  </x:cols>
  <x:sheetData>
    <x:row r="1">
      <x:c r="A1" s="4" t="str">
        <x:v>Name</x:v>
      </x:c>
      <x:c r="B1" s="4" t="str">
        <x:v>Title / role</x:v>
      </x:c>
      <x:c r="C1" s="4" t="str">
        <x:v>Department / group</x:v>
      </x:c>
      <x:c r="D1" s="4" t="str">
        <x:v>Office</x:v>
      </x:c>
      <x:c r="E1" s="4" t="str">
        <x:v>Floor</x:v>
      </x:c>
      <x:c r="F1" s="4" t="str">
        <x:v>Notes</x:v>
      </x:c>
      <x:c r="G1" s="4" t="str">
        <x:v>Source page</x:v>
      </x:c>
      <x:c r="H1" s="4" t="str">
        <x:v>Source URL</x:v>
      </x:c>
    </x:row>
    <x:row r="2" ht="30" customHeight="1">
      <x:c r="A2" s="5" t="str">
        <x:v>Kwok Siong Teh</x:v>
      </x:c>
      <x:c r="B2" s="5" t="str">
        <x:v>Director; Professor</x:v>
      </x:c>
      <x:c r="C2" s="5" t="str">
        <x:v>Mechanical Engineering</x:v>
      </x:c>
      <x:c r="D2" s="5" t="str">
        <x:v>SEIC 311B</x:v>
      </x:c>
      <x:c r="E2" s="6" t="n">
        <x:v>3</x:v>
      </x:c>
      <x:c r="F2" s="7"/>
      <x:c r="G2" s="7" t="str">
        <x:v>Faculty page / profile</x:v>
      </x:c>
      <x:c r="H2" s="7" t="str">
        <x:v>https://engineering.sfsu.edu/</x:v>
      </x:c>
    </x:row>
    <x:row r="3" ht="30" customHeight="1">
      <x:c r="A3" s="5" t="str">
        <x:v>A. S. (Ed) Cheng</x:v>
      </x:c>
      <x:c r="B3" s="5" t="str">
        <x:v>Associate Director; Professor</x:v>
      </x:c>
      <x:c r="C3" s="5" t="str">
        <x:v>Mechanical Engineering</x:v>
      </x:c>
      <x:c r="D3" s="5" t="str">
        <x:v>SEIC 329</x:v>
      </x:c>
      <x:c r="E3" s="6" t="n">
        <x:v>3</x:v>
      </x:c>
      <x:c r="F3" s="7"/>
      <x:c r="G3" s="7" t="str">
        <x:v>Faculty page / profile</x:v>
      </x:c>
      <x:c r="H3" s="7" t="str">
        <x:v>https://engineering.sfsu.edu/</x:v>
      </x:c>
    </x:row>
    <x:row r="4" ht="30" customHeight="1">
      <x:c r="A4" s="5" t="str">
        <x:v>Cheng Chen</x:v>
      </x:c>
      <x:c r="B4" s="5" t="str">
        <x:v>Program Head; Professor</x:v>
      </x:c>
      <x:c r="C4" s="5" t="str">
        <x:v>Civil Engineering</x:v>
      </x:c>
      <x:c r="D4" s="5" t="str">
        <x:v>SEIC 345</x:v>
      </x:c>
      <x:c r="E4" s="6" t="n">
        <x:v>3</x:v>
      </x:c>
      <x:c r="F4" s="7"/>
      <x:c r="G4" s="7" t="str">
        <x:v>Faculty page</x:v>
      </x:c>
      <x:c r="H4" s="7" t="str">
        <x:v>https://engineering.sfsu.edu/faculty</x:v>
      </x:c>
    </x:row>
    <x:row r="5" ht="30" customHeight="1">
      <x:c r="A5" s="5" t="str">
        <x:v>Xiaorong Zhang</x:v>
      </x:c>
      <x:c r="B5" s="5" t="str">
        <x:v>Program Head; Professor</x:v>
      </x:c>
      <x:c r="C5" s="5" t="str">
        <x:v>Computer/Electrical Engineering</x:v>
      </x:c>
      <x:c r="D5" s="5" t="str">
        <x:v>SEIC 349</x:v>
      </x:c>
      <x:c r="E5" s="6" t="n">
        <x:v>3</x:v>
      </x:c>
      <x:c r="F5" s="7"/>
      <x:c r="G5" s="7" t="str">
        <x:v>Faculty page / profile</x:v>
      </x:c>
      <x:c r="H5" s="7" t="str">
        <x:v>https://engineering.sfsu.edu/</x:v>
      </x:c>
    </x:row>
    <x:row r="6" ht="30" customHeight="1">
      <x:c r="A6" s="5" t="str">
        <x:v>Mojtaba Azadi</x:v>
      </x:c>
      <x:c r="B6" s="5" t="str">
        <x:v>Program Head; Associate Professor</x:v>
      </x:c>
      <x:c r="C6" s="5" t="str">
        <x:v>Mechanical Engineering</x:v>
      </x:c>
      <x:c r="D6" s="5" t="str">
        <x:v>SEIC 322</x:v>
      </x:c>
      <x:c r="E6" s="6" t="n">
        <x:v>3</x:v>
      </x:c>
      <x:c r="F6" s="7"/>
      <x:c r="G6" s="7" t="str">
        <x:v>Faculty page / profile</x:v>
      </x:c>
      <x:c r="H6" s="7" t="str">
        <x:v>https://engineering.sfsu.edu/</x:v>
      </x:c>
    </x:row>
    <x:row r="7" ht="30" customHeight="1">
      <x:c r="A7" s="5" t="str">
        <x:v>Hamid Mahmoodi</x:v>
      </x:c>
      <x:c r="B7" s="5" t="str">
        <x:v>Graduate Coordinator; Professor</x:v>
      </x:c>
      <x:c r="C7" s="5" t="str">
        <x:v>Electrical &amp; Computer Engineering</x:v>
      </x:c>
      <x:c r="D7" s="5" t="str">
        <x:v>SEIC 336</x:v>
      </x:c>
      <x:c r="E7" s="6" t="n">
        <x:v>3</x:v>
      </x:c>
      <x:c r="F7" s="7"/>
      <x:c r="G7" s="7" t="str">
        <x:v>Faculty page / profile</x:v>
      </x:c>
      <x:c r="H7" s="7" t="str">
        <x:v>https://engineering.sfsu.edu/</x:v>
      </x:c>
    </x:row>
    <x:row r="8" ht="30" customHeight="1">
      <x:c r="A8" s="5" t="str">
        <x:v>Zhaoshuo Jiang</x:v>
      </x:c>
      <x:c r="B8" s="5" t="str">
        <x:v>Graduate Coordinator; Professor</x:v>
      </x:c>
      <x:c r="C8" s="5" t="str">
        <x:v>Civil Engineering</x:v>
      </x:c>
      <x:c r="D8" s="5" t="str">
        <x:v>SEIC 334</x:v>
      </x:c>
      <x:c r="E8" s="6" t="n">
        <x:v>3</x:v>
      </x:c>
      <x:c r="F8" s="7" t="str">
        <x:v>Faculty list also shows SEIC 346 in one section; profile page shows SEIC 334.</x:v>
      </x:c>
      <x:c r="G8" s="7" t="str">
        <x:v>Faculty page / profile</x:v>
      </x:c>
      <x:c r="H8" s="7" t="str">
        <x:v>https://engineering.sfsu.edu/</x:v>
      </x:c>
    </x:row>
    <x:row r="9" ht="30" customHeight="1">
      <x:c r="A9" s="5" t="str">
        <x:v>David Quintero</x:v>
      </x:c>
      <x:c r="B9" s="5" t="str">
        <x:v>Graduate Coordinator; Associate Professor</x:v>
      </x:c>
      <x:c r="C9" s="5" t="str">
        <x:v>Mechanical Engineering</x:v>
      </x:c>
      <x:c r="D9" s="5" t="str">
        <x:v>SEIC 350</x:v>
      </x:c>
      <x:c r="E9" s="6" t="n">
        <x:v>3</x:v>
      </x:c>
      <x:c r="F9" s="7"/>
      <x:c r="G9" s="7" t="str">
        <x:v>Faculty page / profile</x:v>
      </x:c>
      <x:c r="H9" s="7" t="str">
        <x:v>https://engineering.sfsu.edu/</x:v>
      </x:c>
    </x:row>
    <x:row r="10" ht="30" customHeight="1">
      <x:c r="A10" s="5" t="str">
        <x:v>Tim D'Orazio</x:v>
      </x:c>
      <x:c r="B10" s="5" t="str">
        <x:v>Professor</x:v>
      </x:c>
      <x:c r="C10" s="5" t="str">
        <x:v>Civil Engineering</x:v>
      </x:c>
      <x:c r="D10" s="5" t="str">
        <x:v>SEIC 348</x:v>
      </x:c>
      <x:c r="E10" s="6" t="n">
        <x:v>3</x:v>
      </x:c>
      <x:c r="F10" s="7"/>
      <x:c r="G10" s="7" t="str">
        <x:v>Faculty page</x:v>
      </x:c>
      <x:c r="H10" s="7" t="str">
        <x:v>https://engineering.sfsu.edu/faculty</x:v>
      </x:c>
    </x:row>
    <x:row r="11" ht="30" customHeight="1">
      <x:c r="A11" s="5" t="str">
        <x:v>Elahe Enssani</x:v>
      </x:c>
      <x:c r="B11" s="5" t="str">
        <x:v>Associate Professor</x:v>
      </x:c>
      <x:c r="C11" s="5" t="str">
        <x:v>Civil Engineering</x:v>
      </x:c>
      <x:c r="D11" s="5" t="str">
        <x:v>SEIC 339</x:v>
      </x:c>
      <x:c r="E11" s="6" t="n">
        <x:v>3</x:v>
      </x:c>
      <x:c r="F11" s="7"/>
      <x:c r="G11" s="7" t="str">
        <x:v>Faculty page / profile</x:v>
      </x:c>
      <x:c r="H11" s="7" t="str">
        <x:v>https://engineering.sfsu.edu/</x:v>
      </x:c>
    </x:row>
    <x:row r="12" ht="30" customHeight="1">
      <x:c r="A12" s="5" t="str">
        <x:v>Wenshen Pong</x:v>
      </x:c>
      <x:c r="B12" s="5" t="str">
        <x:v>Professor</x:v>
      </x:c>
      <x:c r="C12" s="5" t="str">
        <x:v>Civil Engineering</x:v>
      </x:c>
      <x:c r="D12" s="5" t="str">
        <x:v>SEIC 338</x:v>
      </x:c>
      <x:c r="E12" s="6" t="n">
        <x:v>3</x:v>
      </x:c>
      <x:c r="F12" s="7"/>
      <x:c r="G12" s="7" t="str">
        <x:v>Faculty page / profile</x:v>
      </x:c>
      <x:c r="H12" s="7" t="str">
        <x:v>https://engineering.sfsu.edu/</x:v>
      </x:c>
    </x:row>
    <x:row r="13" ht="30" customHeight="1">
      <x:c r="A13" s="5" t="str">
        <x:v>Ghassan Tarakji</x:v>
      </x:c>
      <x:c r="B13" s="5" t="str">
        <x:v>Professor</x:v>
      </x:c>
      <x:c r="C13" s="5" t="str">
        <x:v>Civil Engineering</x:v>
      </x:c>
      <x:c r="D13" s="5" t="str">
        <x:v>SEIC 337</x:v>
      </x:c>
      <x:c r="E13" s="6" t="n">
        <x:v>3</x:v>
      </x:c>
      <x:c r="F13" s="7"/>
      <x:c r="G13" s="7" t="str">
        <x:v>Faculty page</x:v>
      </x:c>
      <x:c r="H13" s="7" t="str">
        <x:v>https://engineering.sfsu.edu/faculty</x:v>
      </x:c>
    </x:row>
    <x:row r="14" ht="30" customHeight="1">
      <x:c r="A14" s="5" t="str">
        <x:v>Jenna Wong</x:v>
      </x:c>
      <x:c r="B14" s="5" t="str">
        <x:v>Associate Professor</x:v>
      </x:c>
      <x:c r="C14" s="5" t="str">
        <x:v>Civil Engineering</x:v>
      </x:c>
      <x:c r="D14" s="5" t="str">
        <x:v>SEIC 331</x:v>
      </x:c>
      <x:c r="E14" s="6" t="n">
        <x:v>3</x:v>
      </x:c>
      <x:c r="F14" s="7"/>
      <x:c r="G14" s="7" t="str">
        <x:v>Faculty page</x:v>
      </x:c>
      <x:c r="H14" s="7" t="str">
        <x:v>https://engineering.sfsu.edu/faculty</x:v>
      </x:c>
    </x:row>
    <x:row r="15" ht="30" customHeight="1">
      <x:c r="A15" s="5" t="str">
        <x:v>Yiyi Wang</x:v>
      </x:c>
      <x:c r="B15" s="5" t="str">
        <x:v>Associate Professor</x:v>
      </x:c>
      <x:c r="C15" s="5" t="str">
        <x:v>Civil Engineering</x:v>
      </x:c>
      <x:c r="D15" s="5" t="str">
        <x:v>SEIC 333</x:v>
      </x:c>
      <x:c r="E15" s="6" t="n">
        <x:v>3</x:v>
      </x:c>
      <x:c r="F15" s="7"/>
      <x:c r="G15" s="7" t="str">
        <x:v>Faculty page</x:v>
      </x:c>
      <x:c r="H15" s="7" t="str">
        <x:v>https://engineering.sfsu.edu/faculty</x:v>
      </x:c>
    </x:row>
    <x:row r="16" ht="30" customHeight="1">
      <x:c r="A16" s="5" t="str">
        <x:v>Tom Holton</x:v>
      </x:c>
      <x:c r="B16" s="5" t="str">
        <x:v>Professor</x:v>
      </x:c>
      <x:c r="C16" s="5" t="str">
        <x:v>Computer Engineering / Electrical Engineering</x:v>
      </x:c>
      <x:c r="D16" s="5" t="str">
        <x:v>SEIC 334</x:v>
      </x:c>
      <x:c r="E16" s="6" t="n">
        <x:v>3</x:v>
      </x:c>
      <x:c r="F16" s="7"/>
      <x:c r="G16" s="7" t="str">
        <x:v>Faculty page</x:v>
      </x:c>
      <x:c r="H16" s="7" t="str">
        <x:v>https://engineering.sfsu.edu/faculty</x:v>
      </x:c>
    </x:row>
    <x:row r="17" ht="30" customHeight="1">
      <x:c r="A17" s="5" t="str">
        <x:v>Hamid Shahnasser</x:v>
      </x:c>
      <x:c r="B17" s="5" t="str">
        <x:v>Professor</x:v>
      </x:c>
      <x:c r="C17" s="5" t="str">
        <x:v>Computer Engineering / Electrical Engineering</x:v>
      </x:c>
      <x:c r="D17" s="5" t="str">
        <x:v>SEIC 332</x:v>
      </x:c>
      <x:c r="E17" s="6" t="n">
        <x:v>3</x:v>
      </x:c>
      <x:c r="F17" s="7"/>
      <x:c r="G17" s="7" t="str">
        <x:v>Faculty page</x:v>
      </x:c>
      <x:c r="H17" s="7" t="str">
        <x:v>https://engineering.sfsu.edu/faculty</x:v>
      </x:c>
    </x:row>
    <x:row r="18" ht="30" customHeight="1">
      <x:c r="A18" s="5" t="str">
        <x:v>Hao Jiang</x:v>
      </x:c>
      <x:c r="B18" s="5" t="str">
        <x:v>Professor</x:v>
      </x:c>
      <x:c r="C18" s="5" t="str">
        <x:v>Computer Engineering / Electrical Engineering</x:v>
      </x:c>
      <x:c r="D18" s="5" t="str">
        <x:v>SEIC 343</x:v>
      </x:c>
      <x:c r="E18" s="6" t="n">
        <x:v>3</x:v>
      </x:c>
      <x:c r="F18" s="7"/>
      <x:c r="G18" s="7" t="str">
        <x:v>Faculty page</x:v>
      </x:c>
      <x:c r="H18" s="7" t="str">
        <x:v>https://engineering.sfsu.edu/faculty</x:v>
      </x:c>
    </x:row>
    <x:row r="19" ht="30" customHeight="1">
      <x:c r="A19" s="5" t="str">
        <x:v>Zhuwei Qin</x:v>
      </x:c>
      <x:c r="B19" s="5" t="str">
        <x:v>Assistant Professor</x:v>
      </x:c>
      <x:c r="C19" s="5" t="str">
        <x:v>Computer Engineering</x:v>
      </x:c>
      <x:c r="D19" s="5" t="str">
        <x:v>SEIC 342</x:v>
      </x:c>
      <x:c r="E19" s="6" t="n">
        <x:v>3</x:v>
      </x:c>
      <x:c r="F19" s="7"/>
      <x:c r="G19" s="7" t="str">
        <x:v>Faculty page / profile</x:v>
      </x:c>
      <x:c r="H19" s="7" t="str">
        <x:v>https://engineering.sfsu.edu/</x:v>
      </x:c>
    </x:row>
    <x:row r="20" ht="30" customHeight="1">
      <x:c r="A20" s="5" t="str">
        <x:v>Stephanie Claussen</x:v>
      </x:c>
      <x:c r="B20" s="5" t="str">
        <x:v>Assistant Professor</x:v>
      </x:c>
      <x:c r="C20" s="5" t="str">
        <x:v>Computer Engineering / Electrical Engineering</x:v>
      </x:c>
      <x:c r="D20" s="5" t="str">
        <x:v>SEIC 323</x:v>
      </x:c>
      <x:c r="E20" s="6" t="n">
        <x:v>3</x:v>
      </x:c>
      <x:c r="F20" s="7"/>
      <x:c r="G20" s="7" t="str">
        <x:v>Faculty page</x:v>
      </x:c>
      <x:c r="H20" s="7" t="str">
        <x:v>https://engineering.sfsu.edu/faculty</x:v>
      </x:c>
    </x:row>
    <x:row r="21" ht="30" customHeight="1">
      <x:c r="A21" s="5" t="str">
        <x:v>Sanchita Ghose</x:v>
      </x:c>
      <x:c r="B21" s="5" t="str">
        <x:v>Assistant Professor</x:v>
      </x:c>
      <x:c r="C21" s="5" t="str">
        <x:v>Electrical and Computer Engineering</x:v>
      </x:c>
      <x:c r="D21" s="5" t="str">
        <x:v>SEIC 344</x:v>
      </x:c>
      <x:c r="E21" s="6" t="n">
        <x:v>3</x:v>
      </x:c>
      <x:c r="F21" s="7"/>
      <x:c r="G21" s="7" t="str">
        <x:v>Faculty page / profile</x:v>
      </x:c>
      <x:c r="H21" s="7" t="str">
        <x:v>https://engineering.sfsu.edu/</x:v>
      </x:c>
    </x:row>
    <x:row r="22" ht="30" customHeight="1">
      <x:c r="A22" s="5" t="str">
        <x:v>Alyssa Kubota</x:v>
      </x:c>
      <x:c r="B22" s="5" t="str">
        <x:v>Assistant Professor</x:v>
      </x:c>
      <x:c r="C22" s="5" t="str">
        <x:v>Computer Engineering / Electrical Engineering</x:v>
      </x:c>
      <x:c r="D22" s="5" t="str">
        <x:v>SEIC 326</x:v>
      </x:c>
      <x:c r="E22" s="6" t="n">
        <x:v>3</x:v>
      </x:c>
      <x:c r="F22" s="7"/>
      <x:c r="G22" s="7" t="str">
        <x:v>Faculty page</x:v>
      </x:c>
      <x:c r="H22" s="7" t="str">
        <x:v>https://engineering.sfsu.edu/faculty</x:v>
      </x:c>
    </x:row>
    <x:row r="23" ht="30" customHeight="1">
      <x:c r="A23" s="5" t="str">
        <x:v>Ahmad Ganji</x:v>
      </x:c>
      <x:c r="B23" s="5" t="str">
        <x:v>Professor</x:v>
      </x:c>
      <x:c r="C23" s="5" t="str">
        <x:v>Mechanical Engineering</x:v>
      </x:c>
      <x:c r="D23" s="5" t="str">
        <x:v>SEIC 325</x:v>
      </x:c>
      <x:c r="E23" s="6" t="n">
        <x:v>3</x:v>
      </x:c>
      <x:c r="F23" s="7"/>
      <x:c r="G23" s="7" t="str">
        <x:v>Faculty page</x:v>
      </x:c>
      <x:c r="H23" s="7" t="str">
        <x:v>https://engineering.sfsu.edu/faculty</x:v>
      </x:c>
    </x:row>
    <x:row r="24" ht="30" customHeight="1">
      <x:c r="A24" s="5" t="str">
        <x:v>Dipendra Sinha</x:v>
      </x:c>
      <x:c r="B24" s="5" t="str">
        <x:v>Professor</x:v>
      </x:c>
      <x:c r="C24" s="5" t="str">
        <x:v>Mechanical Engineering</x:v>
      </x:c>
      <x:c r="D24" s="5" t="str">
        <x:v>SEIC 324</x:v>
      </x:c>
      <x:c r="E24" s="6" t="n">
        <x:v>3</x:v>
      </x:c>
      <x:c r="F24" s="7"/>
      <x:c r="G24" s="7" t="str">
        <x:v>Faculty page</x:v>
      </x:c>
      <x:c r="H24" s="7" t="str">
        <x:v>https://engineering.sfsu.edu/faculty</x:v>
      </x:c>
    </x:row>
    <x:row r="25" ht="30" customHeight="1">
      <x:c r="A25" s="5" t="str">
        <x:v>Fatemeh Khalkhal</x:v>
      </x:c>
      <x:c r="B25" s="5" t="str">
        <x:v>Associate Professor</x:v>
      </x:c>
      <x:c r="C25" s="5" t="str">
        <x:v>Mechanical Engineering</x:v>
      </x:c>
      <x:c r="D25" s="5" t="str">
        <x:v>SEIC 335</x:v>
      </x:c>
      <x:c r="E25" s="6" t="n">
        <x:v>3</x:v>
      </x:c>
      <x:c r="F25" s="7"/>
      <x:c r="G25" s="7" t="str">
        <x:v>Faculty page</x:v>
      </x:c>
      <x:c r="H25" s="7" t="str">
        <x:v>https://engineering.sfsu.edu/faculty</x:v>
      </x:c>
    </x:row>
    <x:row r="26" ht="30" customHeight="1">
      <x:c r="A26" s="5" t="str">
        <x:v>Alanna Cooney</x:v>
      </x:c>
      <x:c r="B26" s="5" t="str">
        <x:v>Assistant Professor</x:v>
      </x:c>
      <x:c r="C26" s="5" t="str">
        <x:v>Mechanical Engineering</x:v>
      </x:c>
      <x:c r="D26" s="5" t="str">
        <x:v>SEIC 330</x:v>
      </x:c>
      <x:c r="E26" s="6" t="n">
        <x:v>3</x:v>
      </x:c>
      <x:c r="F26" s="7"/>
      <x:c r="G26" s="7" t="str">
        <x:v>Faculty page</x:v>
      </x:c>
      <x:c r="H26" s="7" t="str">
        <x:v>https://engineering.sfsu.edu/faculty</x:v>
      </x:c>
    </x:row>
    <x:row r="27" ht="30" customHeight="1">
      <x:c r="A27" s="5" t="str">
        <x:v>Kenya Z. Mejia</x:v>
      </x:c>
      <x:c r="B27" s="5" t="str">
        <x:v>Assistant Professor</x:v>
      </x:c>
      <x:c r="C27" s="5" t="str">
        <x:v>Mechanical Engineering</x:v>
      </x:c>
      <x:c r="D27" s="5" t="str">
        <x:v>SEIC 328</x:v>
      </x:c>
      <x:c r="E27" s="6" t="n">
        <x:v>3</x:v>
      </x:c>
      <x:c r="F27" s="7"/>
      <x:c r="G27" s="7" t="str">
        <x:v>Faculty page / profile</x:v>
      </x:c>
      <x:c r="H27" s="7" t="str">
        <x:v>https://engineering.sfsu.edu/</x:v>
      </x:c>
    </x:row>
    <x:row r="28" ht="30" customHeight="1">
      <x:c r="A28" s="5" t="str">
        <x:v>Selim Gunay</x:v>
      </x:c>
      <x:c r="B28" s="5" t="str">
        <x:v>Lecturer</x:v>
      </x:c>
      <x:c r="C28" s="5" t="str">
        <x:v>Civil Engineering</x:v>
      </x:c>
      <x:c r="D28" s="5" t="str">
        <x:v>SEIC 327</x:v>
      </x:c>
      <x:c r="E28" s="6" t="n">
        <x:v>3</x:v>
      </x:c>
      <x:c r="F28" s="7"/>
      <x:c r="G28" s="7" t="str">
        <x:v>Lecturer Faculty + GTA page</x:v>
      </x:c>
      <x:c r="H28" s="7" t="str">
        <x:v>https://engineering.sfsu.edu/lecturer-Faculty-%2B-GTA</x:v>
      </x:c>
    </x:row>
    <x:row r="29" ht="30" customHeight="1">
      <x:c r="A29" s="5" t="str">
        <x:v>Jun Jiang Liang</x:v>
      </x:c>
      <x:c r="B29" s="5" t="str">
        <x:v>Lecturer</x:v>
      </x:c>
      <x:c r="C29" s="5" t="str">
        <x:v>Civil Engineering</x:v>
      </x:c>
      <x:c r="D29" s="5" t="str">
        <x:v>SEIC 340</x:v>
      </x:c>
      <x:c r="E29" s="6" t="n">
        <x:v>3</x:v>
      </x:c>
      <x:c r="F29" s="7"/>
      <x:c r="G29" s="7" t="str">
        <x:v>Lecturer Faculty + GTA page</x:v>
      </x:c>
      <x:c r="H29" s="7" t="str">
        <x:v>https://engineering.sfsu.edu/lecturer-Faculty-%2B-GTA</x:v>
      </x:c>
    </x:row>
    <x:row r="30" ht="30" customHeight="1">
      <x:c r="A30" s="5" t="str">
        <x:v>Yuanhong Chen</x:v>
      </x:c>
      <x:c r="B30" s="5" t="str">
        <x:v>Lecturer</x:v>
      </x:c>
      <x:c r="C30" s="5" t="str">
        <x:v>Civil Engineering</x:v>
      </x:c>
      <x:c r="D30" s="5" t="str">
        <x:v>SEIC 338</x:v>
      </x:c>
      <x:c r="E30" s="6" t="n">
        <x:v>3</x:v>
      </x:c>
      <x:c r="F30" s="7"/>
      <x:c r="G30" s="7" t="str">
        <x:v>Lecturer Faculty + GTA page</x:v>
      </x:c>
      <x:c r="H30" s="7" t="str">
        <x:v>https://engineering.sfsu.edu/lecturer-Faculty-%2B-GTA</x:v>
      </x:c>
    </x:row>
    <x:row r="31" ht="30" customHeight="1">
      <x:c r="A31" s="5" t="str">
        <x:v>Mohammad HajiAboli</x:v>
      </x:c>
      <x:c r="B31" s="5" t="str">
        <x:v>Lecturer</x:v>
      </x:c>
      <x:c r="C31" s="5" t="str">
        <x:v>Electrical/Computer Engineering</x:v>
      </x:c>
      <x:c r="D31" s="5" t="str">
        <x:v>SEIC 341</x:v>
      </x:c>
      <x:c r="E31" s="6" t="n">
        <x:v>3</x:v>
      </x:c>
      <x:c r="F31" s="7"/>
      <x:c r="G31" s="7" t="str">
        <x:v>Lecturer Faculty + GTA page</x:v>
      </x:c>
      <x:c r="H31" s="7" t="str">
        <x:v>https://engineering.sfsu.edu/lecturer-Faculty-%2B-GTA</x:v>
      </x:c>
    </x:row>
    <x:row r="32" ht="30" customHeight="1">
      <x:c r="A32" s="5" t="str">
        <x:v>Jonathan Song</x:v>
      </x:c>
      <x:c r="B32" s="5" t="str">
        <x:v>Lecturer</x:v>
      </x:c>
      <x:c r="C32" s="5" t="str">
        <x:v>Electrical/Computer Engineering</x:v>
      </x:c>
      <x:c r="D32" s="5" t="str">
        <x:v>SEIC 338</x:v>
      </x:c>
      <x:c r="E32" s="6" t="n">
        <x:v>3</x:v>
      </x:c>
      <x:c r="F32" s="7"/>
      <x:c r="G32" s="7" t="str">
        <x:v>Lecturer Faculty + GTA page</x:v>
      </x:c>
      <x:c r="H32" s="7" t="str">
        <x:v>https://engineering.sfsu.edu/lecturer-Faculty-%2B-GTA</x:v>
      </x:c>
    </x:row>
    <x:row r="33" ht="30" customHeight="1">
      <x:c r="A33" s="5" t="str">
        <x:v>Mojan Norouzi</x:v>
      </x:c>
      <x:c r="B33" s="5" t="str">
        <x:v>Lecturer</x:v>
      </x:c>
      <x:c r="C33" s="5" t="str">
        <x:v>Electrical/Computer Engineering</x:v>
      </x:c>
      <x:c r="D33" s="5" t="str">
        <x:v>SEIC 337</x:v>
      </x:c>
      <x:c r="E33" s="6" t="n">
        <x:v>3</x:v>
      </x:c>
      <x:c r="F33" s="7"/>
      <x:c r="G33" s="7" t="str">
        <x:v>Lecturer Faculty + GTA page</x:v>
      </x:c>
      <x:c r="H33" s="7" t="str">
        <x:v>https://engineering.sfsu.edu/lecturer-Faculty-%2B-GTA</x:v>
      </x:c>
    </x:row>
    <x:row r="34" ht="30" customHeight="1">
      <x:c r="A34" s="5" t="str">
        <x:v>Rashid Kohan</x:v>
      </x:c>
      <x:c r="B34" s="5" t="str">
        <x:v>Lecturer</x:v>
      </x:c>
      <x:c r="C34" s="5" t="str">
        <x:v>Electrical/Computer Engineering</x:v>
      </x:c>
      <x:c r="D34" s="5" t="str">
        <x:v>SEIC 340</x:v>
      </x:c>
      <x:c r="E34" s="6" t="n">
        <x:v>3</x:v>
      </x:c>
      <x:c r="F34" s="7"/>
      <x:c r="G34" s="7" t="str">
        <x:v>Lecturer Faculty + GTA page</x:v>
      </x:c>
      <x:c r="H34" s="7" t="str">
        <x:v>https://engineering.sfsu.edu/lecturer-Faculty-%2B-GTA</x:v>
      </x:c>
    </x:row>
    <x:row r="35" ht="30" customHeight="1">
      <x:c r="A35" s="5" t="str">
        <x:v>John Kim</x:v>
      </x:c>
      <x:c r="B35" s="5" t="str">
        <x:v>Lecturer</x:v>
      </x:c>
      <x:c r="C35" s="5" t="str">
        <x:v>Electrical/Computer Engineering</x:v>
      </x:c>
      <x:c r="D35" s="5" t="str">
        <x:v>SEIC 321</x:v>
      </x:c>
      <x:c r="E35" s="6" t="n">
        <x:v>3</x:v>
      </x:c>
      <x:c r="F35" s="7"/>
      <x:c r="G35" s="7" t="str">
        <x:v>Lecturer Faculty + GTA page</x:v>
      </x:c>
      <x:c r="H35" s="7" t="str">
        <x:v>https://engineering.sfsu.edu/lecturer-Faculty-%2B-GTA</x:v>
      </x:c>
    </x:row>
    <x:row r="36" ht="30" customHeight="1">
      <x:c r="A36" s="5" t="str">
        <x:v>Natalia Igu</x:v>
      </x:c>
      <x:c r="B36" s="5" t="str">
        <x:v>Lecturer</x:v>
      </x:c>
      <x:c r="C36" s="5" t="str">
        <x:v>Mechanical Engineering</x:v>
      </x:c>
      <x:c r="D36" s="5" t="str">
        <x:v>SEIC 340</x:v>
      </x:c>
      <x:c r="E36" s="6" t="n">
        <x:v>3</x:v>
      </x:c>
      <x:c r="F36" s="7"/>
      <x:c r="G36" s="7" t="str">
        <x:v>Lecturer Faculty + GTA page</x:v>
      </x:c>
      <x:c r="H36" s="7" t="str">
        <x:v>https://engineering.sfsu.edu/lecturer-Faculty-%2B-GTA</x:v>
      </x:c>
    </x:row>
    <x:row r="37" ht="30" customHeight="1">
      <x:c r="A37" s="5" t="str">
        <x:v>Lilit Mazmanyan</x:v>
      </x:c>
      <x:c r="B37" s="5" t="str">
        <x:v>Lecturer</x:v>
      </x:c>
      <x:c r="C37" s="5" t="str">
        <x:v>Mechanical Engineering</x:v>
      </x:c>
      <x:c r="D37" s="5" t="str">
        <x:v>SEIC 327</x:v>
      </x:c>
      <x:c r="E37" s="6" t="n">
        <x:v>3</x:v>
      </x:c>
      <x:c r="F37" s="7"/>
      <x:c r="G37" s="7" t="str">
        <x:v>Lecturer Faculty + GTA page</x:v>
      </x:c>
      <x:c r="H37" s="7" t="str">
        <x:v>https://engineering.sfsu.edu/lecturer-Faculty-%2B-GTA</x:v>
      </x:c>
    </x:row>
    <x:row r="38" ht="30" customHeight="1">
      <x:c r="A38" s="5" t="str">
        <x:v>George Anwar</x:v>
      </x:c>
      <x:c r="B38" s="5" t="str">
        <x:v>Lecturer</x:v>
      </x:c>
      <x:c r="C38" s="5" t="str">
        <x:v>Mechanical Engineering</x:v>
      </x:c>
      <x:c r="D38" s="5" t="str">
        <x:v>SEIC 321</x:v>
      </x:c>
      <x:c r="E38" s="6" t="n">
        <x:v>3</x:v>
      </x:c>
      <x:c r="F38" s="7"/>
      <x:c r="G38" s="7" t="str">
        <x:v>Lecturer Faculty + GTA page</x:v>
      </x:c>
      <x:c r="H38" s="7" t="str">
        <x:v>https://engineering.sfsu.edu/lecturer-Faculty-%2B-GTA</x:v>
      </x:c>
    </x:row>
    <x:row r="39" ht="30" customHeight="1">
      <x:c r="A39" s="5" t="str">
        <x:v>Brett Williams</x:v>
      </x:c>
      <x:c r="B39" s="5" t="str">
        <x:v>Lecturer</x:v>
      </x:c>
      <x:c r="C39" s="5" t="str">
        <x:v>Mechanical Engineering</x:v>
      </x:c>
      <x:c r="D39" s="5" t="str">
        <x:v>SEIC 337</x:v>
      </x:c>
      <x:c r="E39" s="6" t="n">
        <x:v>3</x:v>
      </x:c>
      <x:c r="F39" s="7"/>
      <x:c r="G39" s="7" t="str">
        <x:v>Lecturer Faculty + GTA page</x:v>
      </x:c>
      <x:c r="H39" s="7" t="str">
        <x:v>https://engineering.sfsu.edu/lecturer-Faculty-%2B-GTA</x:v>
      </x:c>
    </x:row>
    <x:row r="40">
      <x:c r="A40" t="str">
        <x:v>Dr. Azimzadeh Farhad</x:v>
      </x:c>
      <x:c r="B40" t="str">
        <x:v>Lecturer</x:v>
      </x:c>
      <x:c r="C40" t="str">
        <x:v>Civil Engineering</x:v>
      </x:c>
      <x:c r="D40" t="str"/>
      <x:c r="E40"/>
      <x:c r="F40" t="str">
        <x:v>Office not publicly listed on Lecturer Faculty + GTA page.</x:v>
      </x:c>
      <x:c r="G40" t="str">
        <x:v>Lecturer Faculty + GTA page</x:v>
      </x:c>
      <x:c r="H40" t="str">
        <x:v>https://engineering.sfsu.edu/lecturer-Faculty-%2B-GTA</x:v>
      </x:c>
    </x:row>
    <x:row r="41">
      <x:c r="A41" t="str">
        <x:v>Anindya Dutta</x:v>
      </x:c>
      <x:c r="B41" t="str">
        <x:v>Lecturer</x:v>
      </x:c>
      <x:c r="C41" t="str">
        <x:v>Civil Engineering</x:v>
      </x:c>
      <x:c r="D41" t="str"/>
      <x:c r="E41"/>
      <x:c r="F41" t="str">
        <x:v>Office not publicly listed on Lecturer Faculty + GTA page.</x:v>
      </x:c>
      <x:c r="G41" t="str">
        <x:v>Lecturer Faculty + GTA page</x:v>
      </x:c>
      <x:c r="H41" t="str">
        <x:v>https://engineering.sfsu.edu/lecturer-Faculty-%2B-GTA</x:v>
      </x:c>
    </x:row>
    <x:row r="42">
      <x:c r="A42" t="str">
        <x:v>Bryce Johnson</x:v>
      </x:c>
      <x:c r="B42" t="str">
        <x:v>Lecturer</x:v>
      </x:c>
      <x:c r="C42" t="str">
        <x:v>Civil Engineering</x:v>
      </x:c>
      <x:c r="D42" t="str"/>
      <x:c r="E42"/>
      <x:c r="F42" t="str">
        <x:v>Office not publicly listed on Lecturer Faculty + GTA page.</x:v>
      </x:c>
      <x:c r="G42" t="str">
        <x:v>Lecturer Faculty + GTA page</x:v>
      </x:c>
      <x:c r="H42" t="str">
        <x:v>https://engineering.sfsu.edu/lecturer-Faculty-%2B-GTA</x:v>
      </x:c>
    </x:row>
    <x:row r="43">
      <x:c r="A43" t="str">
        <x:v>Zhihua Li</x:v>
      </x:c>
      <x:c r="B43" t="str">
        <x:v>Lecturer</x:v>
      </x:c>
      <x:c r="C43" t="str">
        <x:v>Civil Engineering</x:v>
      </x:c>
      <x:c r="D43" t="str"/>
      <x:c r="E43"/>
      <x:c r="F43" t="str">
        <x:v>Office not publicly listed on Lecturer Faculty + GTA page.</x:v>
      </x:c>
      <x:c r="G43" t="str">
        <x:v>Lecturer Faculty + GTA page</x:v>
      </x:c>
      <x:c r="H43" t="str">
        <x:v>https://engineering.sfsu.edu/lecturer-Faculty-%2B-GTA</x:v>
      </x:c>
    </x:row>
    <x:row r="44">
      <x:c r="A44" t="str">
        <x:v>Kawai Law</x:v>
      </x:c>
      <x:c r="B44" t="str">
        <x:v>Lecturer</x:v>
      </x:c>
      <x:c r="C44" t="str">
        <x:v>Civil Engineering</x:v>
      </x:c>
      <x:c r="D44" t="str"/>
      <x:c r="E44"/>
      <x:c r="F44" t="str">
        <x:v>Office not publicly listed on Lecturer Faculty + GTA page.</x:v>
      </x:c>
      <x:c r="G44" t="str">
        <x:v>Lecturer Faculty + GTA page</x:v>
      </x:c>
      <x:c r="H44" t="str">
        <x:v>https://engineering.sfsu.edu/lecturer-Faculty-%2B-GTA</x:v>
      </x:c>
    </x:row>
    <x:row r="45">
      <x:c r="A45" t="str">
        <x:v>Chris Thomson</x:v>
      </x:c>
      <x:c r="B45" t="str">
        <x:v>Lecturer</x:v>
      </x:c>
      <x:c r="C45" t="str">
        <x:v>Civil Engineering</x:v>
      </x:c>
      <x:c r="D45" t="str"/>
      <x:c r="E45"/>
      <x:c r="F45" t="str">
        <x:v>Office not publicly listed on Lecturer Faculty + GTA page.</x:v>
      </x:c>
      <x:c r="G45" t="str">
        <x:v>Lecturer Faculty + GTA page</x:v>
      </x:c>
      <x:c r="H45" t="str">
        <x:v>https://engineering.sfsu.edu/lecturer-Faculty-%2B-GTA</x:v>
      </x:c>
    </x:row>
    <x:row r="46">
      <x:c r="A46" t="str">
        <x:v>Drogomir Bogdanic</x:v>
      </x:c>
      <x:c r="B46" t="str">
        <x:v>Lecturer</x:v>
      </x:c>
      <x:c r="C46" t="str">
        <x:v>Civil Engineering</x:v>
      </x:c>
      <x:c r="D46" t="str"/>
      <x:c r="E46"/>
      <x:c r="F46" t="str">
        <x:v>Office not publicly listed on Lecturer Faculty + GTA page.</x:v>
      </x:c>
      <x:c r="G46" t="str">
        <x:v>Lecturer Faculty + GTA page</x:v>
      </x:c>
      <x:c r="H46" t="str">
        <x:v>https://engineering.sfsu.edu/lecturer-Faculty-%2B-GTA</x:v>
      </x:c>
    </x:row>
    <x:row r="47">
      <x:c r="A47" t="str">
        <x:v>Yuriah Lydon</x:v>
      </x:c>
      <x:c r="B47" t="str">
        <x:v>Lecturer</x:v>
      </x:c>
      <x:c r="C47" t="str">
        <x:v>Electrical/Computer Engineering</x:v>
      </x:c>
      <x:c r="D47" t="str"/>
      <x:c r="E47"/>
      <x:c r="F47" t="str">
        <x:v>Lecturer page shows no office; a duplicate entry notes office hours by appointment only.</x:v>
      </x:c>
      <x:c r="G47" t="str">
        <x:v>Lecturer Faculty + GTA page</x:v>
      </x:c>
      <x:c r="H47" t="str">
        <x:v>https://engineering.sfsu.edu/lecturer-Faculty-%2B-GTA</x:v>
      </x:c>
    </x:row>
    <x:row r="48">
      <x:c r="A48" t="str">
        <x:v>Ahmad Shahsiah</x:v>
      </x:c>
      <x:c r="B48" t="str">
        <x:v>Lecturer</x:v>
      </x:c>
      <x:c r="C48" t="str">
        <x:v>Electrical/Computer Engineering</x:v>
      </x:c>
      <x:c r="D48" t="str"/>
      <x:c r="E48"/>
      <x:c r="F48" t="str">
        <x:v>Office not publicly listed on Lecturer Faculty + GTA page.</x:v>
      </x:c>
      <x:c r="G48" t="str">
        <x:v>Lecturer Faculty + GTA page</x:v>
      </x:c>
      <x:c r="H48" t="str">
        <x:v>https://engineering.sfsu.edu/lecturer-Faculty-%2B-GTA</x:v>
      </x:c>
    </x:row>
    <x:row r="49">
      <x:c r="A49" t="str">
        <x:v>Barry Shiller</x:v>
      </x:c>
      <x:c r="B49" t="str">
        <x:v>Lecturer</x:v>
      </x:c>
      <x:c r="C49" t="str">
        <x:v>Electrical/Computer Engineering</x:v>
      </x:c>
      <x:c r="D49" t="str">
        <x:v>HH 807E</x:v>
      </x:c>
      <x:c r="E49"/>
      <x:c r="F49" t="str">
        <x:v>Public lecturer page lists office in Hensill Hall, not SEIC.</x:v>
      </x:c>
      <x:c r="G49" t="str">
        <x:v>Lecturer Faculty + GTA page</x:v>
      </x:c>
      <x:c r="H49" t="str">
        <x:v>https://engineering.sfsu.edu/lecturer-Faculty-%2B-GTA</x:v>
      </x:c>
    </x:row>
    <x:row r="50">
      <x:c r="A50" t="str">
        <x:v>Liam Buckley</x:v>
      </x:c>
      <x:c r="B50" t="str">
        <x:v>Lecturer</x:v>
      </x:c>
      <x:c r="C50" t="str">
        <x:v>Mechanical Engineering</x:v>
      </x:c>
      <x:c r="D50" t="str"/>
      <x:c r="E50"/>
      <x:c r="F50" t="str">
        <x:v>Office not publicly listed on Lecturer Faculty + GTA page.</x:v>
      </x:c>
      <x:c r="G50" t="str">
        <x:v>Lecturer Faculty + GTA page</x:v>
      </x:c>
      <x:c r="H50" t="str">
        <x:v>https://engineering.sfsu.edu/lecturer-Faculty-%2B-GTA</x:v>
      </x:c>
    </x:row>
    <x:row r="51">
      <x:c r="A51" t="str">
        <x:v>Amedeo Simoncini</x:v>
      </x:c>
      <x:c r="B51" t="str">
        <x:v>Lecturer</x:v>
      </x:c>
      <x:c r="C51" t="str">
        <x:v>Mechanical Engineering</x:v>
      </x:c>
      <x:c r="D51" t="str"/>
      <x:c r="E51"/>
      <x:c r="F51" t="str">
        <x:v>Office not publicly listed on Lecturer Faculty + GTA page.</x:v>
      </x:c>
      <x:c r="G51" t="str">
        <x:v>Lecturer Faculty + GTA page</x:v>
      </x:c>
      <x:c r="H51" t="str">
        <x:v>https://engineering.sfsu.edu/lecturer-Faculty-%2B-GTA</x:v>
      </x:c>
    </x:row>
    <x:row r="52">
      <x:c r="A52" t="str">
        <x:v>Ryan Swanson</x:v>
      </x:c>
      <x:c r="B52" t="str">
        <x:v>Lecturer</x:v>
      </x:c>
      <x:c r="C52" t="str">
        <x:v>Mechanical Engineering</x:v>
      </x:c>
      <x:c r="D52" t="str">
        <x:v>HH 807E</x:v>
      </x:c>
      <x:c r="E52"/>
      <x:c r="F52" t="str">
        <x:v>Public lecturer page lists office in Hensill Hall, not SEIC.</x:v>
      </x:c>
      <x:c r="G52" t="str">
        <x:v>Lecturer Faculty + GTA page</x:v>
      </x:c>
      <x:c r="H52" t="str">
        <x:v>https://engineering.sfsu.edu/lecturer-Faculty-%2B-GTA</x:v>
      </x:c>
    </x:row>
    <x:row r="53">
      <x:c r="A53" t="str">
        <x:v>Parsa Taheri</x:v>
      </x:c>
      <x:c r="B53" t="str">
        <x:v>Lecturer</x:v>
      </x:c>
      <x:c r="C53" t="str">
        <x:v>Mechanical Engineering</x:v>
      </x:c>
      <x:c r="D53" t="str"/>
      <x:c r="E53"/>
      <x:c r="F53" t="str">
        <x:v>Office not publicly listed on Lecturer Faculty + GTA page.</x:v>
      </x:c>
      <x:c r="G53" t="str">
        <x:v>Lecturer Faculty + GTA page</x:v>
      </x:c>
      <x:c r="H53" t="str">
        <x:v>https://engineering.sfsu.edu/lecturer-Faculty-%2B-GTA</x:v>
      </x:c>
    </x:row>
    <x:row r="54">
      <x:c r="A54" t="str">
        <x:v>Josh Mehlman</x:v>
      </x:c>
      <x:c r="B54" t="str">
        <x:v>Graduate Teaching Assistant</x:v>
      </x:c>
      <x:c r="C54" t="str">
        <x:v>School of Engineering</x:v>
      </x:c>
      <x:c r="D54" t="str"/>
      <x:c r="E54"/>
      <x:c r="F54" t="str">
        <x:v>GTA listed on Lecturer Faculty + GTA page; no public office shown.</x:v>
      </x:c>
      <x:c r="G54" t="str">
        <x:v>Lecturer Faculty + GTA page</x:v>
      </x:c>
      <x:c r="H54" t="str">
        <x:v>https://engineering.sfsu.edu/lecturer-Faculty-%2B-GTA</x:v>
      </x:c>
    </x:row>
    <x:row r="55">
      <x:c r="A55" t="str">
        <x:v>Chandan Gireesha</x:v>
      </x:c>
      <x:c r="B55" t="str">
        <x:v>Graduate Teaching Assistant</x:v>
      </x:c>
      <x:c r="C55" t="str">
        <x:v>School of Engineering</x:v>
      </x:c>
      <x:c r="D55" t="str"/>
      <x:c r="E55"/>
      <x:c r="F55" t="str">
        <x:v>GTA listed on Lecturer Faculty + GTA page; no public office shown.</x:v>
      </x:c>
      <x:c r="G55" t="str">
        <x:v>Lecturer Faculty + GTA page</x:v>
      </x:c>
      <x:c r="H55" t="str">
        <x:v>https://engineering.sfsu.edu/lecturer-Faculty-%2B-GTA</x:v>
      </x:c>
    </x:row>
    <x:row r="56">
      <x:c r="A56" t="str">
        <x:v>Peter Chudinov</x:v>
      </x:c>
      <x:c r="B56" t="str">
        <x:v>Graduate Teaching Assistant</x:v>
      </x:c>
      <x:c r="C56" t="str">
        <x:v>School of Engineering</x:v>
      </x:c>
      <x:c r="D56" t="str"/>
      <x:c r="E56"/>
      <x:c r="F56" t="str">
        <x:v>GTA listed on Lecturer Faculty + GTA page; page shows help@sfsu.edu and no public office.</x:v>
      </x:c>
      <x:c r="G56" t="str">
        <x:v>Lecturer Faculty + GTA page</x:v>
      </x:c>
      <x:c r="H56" t="str">
        <x:v>https://engineering.sfsu.edu/lecturer-Faculty-%2B-GTA</x:v>
      </x:c>
    </x:row>
    <x:row r="57">
      <x:c r="A57" t="str">
        <x:v>Raul Contreras III</x:v>
      </x:c>
      <x:c r="B57" t="str">
        <x:v>Academic Office Coordinator; MESA Coordinator</x:v>
      </x:c>
      <x:c r="C57" t="str">
        <x:v>School of Engineering Staff</x:v>
      </x:c>
      <x:c r="D57" t="str">
        <x:v>SEC 311A</x:v>
      </x:c>
      <x:c r="E57"/>
      <x:c r="F57" t="str">
        <x:v>Public staff page lists office in the Science building (SEC), not SEIC.</x:v>
      </x:c>
      <x:c r="G57" t="str">
        <x:v>Staff page</x:v>
      </x:c>
      <x:c r="H57" t="str">
        <x:v>https://engineering.sfsu.edu/staff</x:v>
      </x:c>
    </x:row>
    <x:row r="58">
      <x:c r="A58" t="str">
        <x:v>Sherwin Ang</x:v>
      </x:c>
      <x:c r="B58" t="str">
        <x:v>Student Services Coordinator</x:v>
      </x:c>
      <x:c r="C58" t="str">
        <x:v>School of Engineering Staff</x:v>
      </x:c>
      <x:c r="D58" t="str">
        <x:v>SEC 311</x:v>
      </x:c>
      <x:c r="E58"/>
      <x:c r="F58" t="str">
        <x:v>Public staff page lists office in the Science building (SEC), not SEIC.</x:v>
      </x:c>
      <x:c r="G58" t="str">
        <x:v>Staff page</x:v>
      </x:c>
      <x:c r="H58" t="str">
        <x:v>https://engineering.sfsu.edu/staff</x:v>
      </x:c>
    </x:row>
    <x:row r="59">
      <x:c r="A59" t="str">
        <x:v>Michael Lino</x:v>
      </x:c>
      <x:c r="B59" t="str">
        <x:v>Equipment Technician II</x:v>
      </x:c>
      <x:c r="C59" t="str">
        <x:v>School of Engineering Staff</x:v>
      </x:c>
      <x:c r="D59" t="str">
        <x:v>SEC 100</x:v>
      </x:c>
      <x:c r="E59"/>
      <x:c r="F59" t="str">
        <x:v>Discipline: Mechanical Design. Public staff page lists office in SEC, not SEIC.</x:v>
      </x:c>
      <x:c r="G59" t="str">
        <x:v>Staff page</x:v>
      </x:c>
      <x:c r="H59" t="str">
        <x:v>https://engineering.sfsu.edu/staff</x:v>
      </x:c>
    </x:row>
    <x:row r="60">
      <x:c r="A60" t="str">
        <x:v>Jun Min (Jimmy) Zhang</x:v>
      </x:c>
      <x:c r="B60" t="str">
        <x:v>Stockroom Manager; Equipment Technician III</x:v>
      </x:c>
      <x:c r="C60" t="str">
        <x:v>School of Engineering Staff</x:v>
      </x:c>
      <x:c r="D60" t="str">
        <x:v>SEC 100</x:v>
      </x:c>
      <x:c r="E60"/>
      <x:c r="F60" t="str">
        <x:v>Discipline: Mechanical and Electrical Design. Public staff page lists office in SEC, not SEIC.</x:v>
      </x:c>
      <x:c r="G60" t="str">
        <x:v>Staff page</x:v>
      </x:c>
      <x:c r="H60" t="str">
        <x:v>https://engineering.sfsu.edu/staff</x:v>
      </x:c>
    </x:row>
    <x:row r="61">
      <x:c r="A61" t="str">
        <x:v>Tracy Thai</x:v>
      </x:c>
      <x:c r="B61" t="str">
        <x:v>Staff (Part-Time)</x:v>
      </x:c>
      <x:c r="C61" t="str">
        <x:v>School of Engineering Staff</x:v>
      </x:c>
      <x:c r="D61" t="str">
        <x:v>SEC 311</x:v>
      </x:c>
      <x:c r="E61"/>
      <x:c r="F61" t="str">
        <x:v>Public staff page lists office in the Science building (SEC), not SEIC.</x:v>
      </x:c>
      <x:c r="G61" t="str">
        <x:v>Staff page</x:v>
      </x:c>
      <x:c r="H61" t="str">
        <x:v>https://engineering.sfsu.edu/staff</x:v>
      </x:c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</x:sheetData>
  <x:conditionalFormatting sqref="F2:F39">
    <x:cfRule type="expression" dxfId="0" priority="1">
      <x:formula>LEN(F2)&gt;0</x:formula>
    </x:cfRule>
  </x:conditionalFormatting>
  <x:pageMargins left="0.7" right="0.7" top="0.75" bottom="0.75" header="0.3" footer="0.3"/>
  <x:legacyDrawing xmlns:r="http://schemas.openxmlformats.org/officeDocument/2006/relationships" r:id="R0d9af0450e864f01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28" customWidth="1"/>
    <x:col min="3" max="3" width="8" customWidth="1"/>
    <x:col min="4" max="4" width="72" customWidth="1"/>
    <x:col min="5" max="5" width="24" customWidth="1"/>
    <x:col min="6" max="6" width="42" customWidth="1"/>
  </x:cols>
  <x:sheetData>
    <x:row r="1">
      <x:c r="A1" s="4" t="inlineStr">
        <x:is>
          <x:t xml:space="preserve">Space / area</x:t>
        </x:is>
      </x:c>
      <x:c r="B1" s="4" t="inlineStr">
        <x:is>
          <x:t xml:space="preserve">Publicly listed location</x:t>
        </x:is>
      </x:c>
      <x:c r="C1" s="4" t="inlineStr">
        <x:is>
          <x:t xml:space="preserve">Floor</x:t>
        </x:is>
      </x:c>
      <x:c r="D1" s="4" t="inlineStr">
        <x:is>
          <x:t xml:space="preserve">Public description</x:t>
        </x:is>
      </x:c>
      <x:c r="E1" s="4" t="inlineStr">
        <x:is>
          <x:t xml:space="preserve">Source page</x:t>
        </x:is>
      </x:c>
      <x:c r="F1" s="4" t="inlineStr">
        <x:is>
          <x:t xml:space="preserve">Source URL</x:t>
        </x:is>
      </x:c>
    </x:row>
    <x:row r="2" ht="30" customHeight="1">
      <x:c r="A2" s="5" t="inlineStr">
        <x:is>
          <x:t xml:space="preserve">Large Garage makerspace</x:t>
        </x:is>
      </x:c>
      <x:c r="B2" s="5" t="inlineStr">
        <x:is>
          <x:t xml:space="preserve">SEIC 120</x:t>
        </x:is>
      </x:c>
      <x:c r="C2" s="6" t="n">
        <x:f>IFERROR(VALUE(LEFT(MID($B2,SEARCH("SEIC ",$B2)+5,10),1)),"")</x:f>
        <x:v>1</x:v>
      </x:c>
      <x:c r="D2" s="5" t="inlineStr">
        <x:is>
          <x:t xml:space="preserve">First floor makerspace where students prototype engineering projects; the Catalyze page explicitly identifies Room 120 as the Large Garage.</x:t>
        </x:is>
      </x:c>
      <x:c r="E2" s="5" t="inlineStr">
        <x:is>
          <x:t xml:space="preserve">Catalyze / SEIC campaign page</x:t>
        </x:is>
      </x:c>
      <x:c r="F2" s="7" t="inlineStr">
        <x:is>
          <x:t xml:space="preserve">https://catalyze.sfsu.edu/catalyze/science-engineering-innovation-center</x:t>
        </x:is>
      </x:c>
    </x:row>
    <x:row r="3" ht="30" customHeight="1">
      <x:c r="A3" s="5" t="inlineStr">
        <x:is>
          <x:t xml:space="preserve">Garage makerspaces (2 total)</x:t>
        </x:is>
      </x:c>
      <x:c r="B3" s="5" t="inlineStr">
        <x:is>
          <x:t xml:space="preserve">SEIC first floor (one room specifically identified as Room 120)</x:t>
        </x:is>
      </x:c>
      <x:c r="C3" s="6" t="n">
        <x:f>IFERROR(VALUE(LEFT(MID($B3,SEARCH("SEIC ",$B3)+5,10),1)),"")</x:f>
        <x:v>0</x:v>
      </x:c>
      <x:c r="D3" s="5" t="inlineStr">
        <x:is>
          <x:t xml:space="preserve">The building features two 'garage' makerspaces on the first floor; only the Large Garage is explicitly tied to Room 120 on the public page.</x:t>
        </x:is>
      </x:c>
      <x:c r="E3" s="5" t="inlineStr">
        <x:is>
          <x:t xml:space="preserve">Catalyze / SEIC campaign page</x:t>
        </x:is>
      </x:c>
      <x:c r="F3" s="7" t="inlineStr">
        <x:is>
          <x:t xml:space="preserve">https://catalyze.sfsu.edu/catalyze/science-engineering-innovation-center</x:t>
        </x:is>
      </x:c>
    </x:row>
    <x:row r="4" ht="30" customHeight="1">
      <x:c r="A4" s="5" t="inlineStr">
        <x:is>
          <x:t xml:space="preserve">Machine Shop / Stockroom</x:t>
        </x:is>
      </x:c>
      <x:c r="B4" s="5" t="inlineStr">
        <x:is>
          <x:t xml:space="preserve">SEIC building; exact room not publicly listed on the Stockroom page</x:t>
        </x:is>
      </x:c>
      <x:c r="C4" s="6" t="n">
        <x:f>IFERROR(VALUE(LEFT(MID($B4,SEARCH("SEIC ",$B4)+5,10),1)),"")</x:f>
        <x:v>0</x:v>
      </x:c>
      <x:c r="D4" s="5" t="inlineStr">
        <x:is>
          <x:t xml:space="preserve">Described as a hands-on laboratory for idea generation and innovation; the shop also houses student organizations such as RPL and SAE.</x:t>
        </x:is>
      </x:c>
      <x:c r="E4" s="5" t="inlineStr">
        <x:is>
          <x:t xml:space="preserve">Engineering Stockroom page</x:t>
        </x:is>
      </x:c>
      <x:c r="F4" s="7" t="inlineStr">
        <x:is>
          <x:t xml:space="preserve">https://engineering.sfsu.edu/engr-stockroom</x:t>
        </x:is>
      </x:c>
    </x:row>
    <x:row r="5" ht="30" customHeight="1">
      <x:c r="A5" s="5" t="inlineStr">
        <x:is>
          <x:t xml:space="preserve">Robotics and Mechatronics Lab</x:t>
        </x:is>
      </x:c>
      <x:c r="B5" s="5" t="inlineStr">
        <x:is>
          <x:t xml:space="preserve">SEIC building; room not publicly listed</x:t>
        </x:is>
      </x:c>
      <x:c r="C5" s="6" t="n">
        <x:f>IFERROR(VALUE(LEFT(MID($B5,SEARCH("SEIC ",$B5)+5,10),1)),"")</x:f>
        <x:v>0</x:v>
      </x:c>
      <x:c r="D5" s="5" t="inlineStr">
        <x:is>
          <x:t xml:space="preserve">Publicly described as the first robotics/mechatronics lab on campus; used for curriculum and research.</x:t>
        </x:is>
      </x:c>
      <x:c r="E5" s="5" t="inlineStr">
        <x:is>
          <x:t xml:space="preserve">Catalyze / SEIC campaign page</x:t>
        </x:is>
      </x:c>
      <x:c r="F5" s="7" t="inlineStr">
        <x:is>
          <x:t xml:space="preserve">https://catalyze.sfsu.edu/catalyze/science-engineering-innovation-center</x:t>
        </x:is>
      </x:c>
    </x:row>
    <x:row r="6" ht="30" customHeight="1">
      <x:c r="A6" s="5" t="inlineStr">
        <x:is>
          <x:t xml:space="preserve">Applied Project Space</x:t>
        </x:is>
      </x:c>
      <x:c r="B6" s="5" t="inlineStr">
        <x:is>
          <x:t xml:space="preserve">SEIC building; room not publicly listed</x:t>
        </x:is>
      </x:c>
      <x:c r="C6" s="6" t="n">
        <x:f>IFERROR(VALUE(LEFT(MID($B6,SEARCH("SEIC ",$B6)+5,10),1)),"")</x:f>
        <x:v>0</x:v>
      </x:c>
      <x:c r="D6" s="5" t="inlineStr">
        <x:is>
          <x:t xml:space="preserve">Includes strong wall, strong floor, and shake-table capabilities for advanced structural and seismic testing.</x:t>
        </x:is>
      </x:c>
      <x:c r="E6" s="5" t="inlineStr">
        <x:is>
          <x:t xml:space="preserve">Catalyze / SEIC campaign page</x:t>
        </x:is>
      </x:c>
      <x:c r="F6" s="7" t="inlineStr">
        <x:is>
          <x:t xml:space="preserve">https://catalyze.sfsu.edu/catalyze/science-engineering-innovation-center</x:t>
        </x:is>
      </x:c>
    </x:row>
    <x:row r="7" ht="30" customHeight="1">
      <x:c r="A7" s="5" t="inlineStr">
        <x:is>
          <x:t xml:space="preserve">Energy Systems Lab</x:t>
        </x:is>
      </x:c>
      <x:c r="B7" s="5" t="inlineStr">
        <x:is>
          <x:t xml:space="preserve">SEIC building; room not publicly listed</x:t>
        </x:is>
      </x:c>
      <x:c r="C7" s="6" t="n">
        <x:f>IFERROR(VALUE(LEFT(MID($B7,SEARCH("SEIC ",$B7)+5,10),1)),"")</x:f>
        <x:v>0</x:v>
      </x:c>
      <x:c r="D7" s="5" t="inlineStr">
        <x:is>
          <x:t xml:space="preserve">Public page describes engine testing area, reconfigurable HVAC training system, and advanced energy technologies.</x:t>
        </x:is>
      </x:c>
      <x:c r="E7" s="5" t="inlineStr">
        <x:is>
          <x:t xml:space="preserve">Catalyze / SEIC campaign page</x:t>
        </x:is>
      </x:c>
      <x:c r="F7" s="7" t="inlineStr">
        <x:is>
          <x:t xml:space="preserve">https://catalyze.sfsu.edu/catalyze/science-engineering-innovation-center</x:t>
        </x:is>
      </x:c>
    </x:row>
    <x:row r="8" ht="30" customHeight="1">
      <x:c r="A8" s="5" t="inlineStr">
        <x:is>
          <x:t xml:space="preserve">Fluids and Process Control Lab</x:t>
        </x:is>
      </x:c>
      <x:c r="B8" s="5" t="inlineStr">
        <x:is>
          <x:t xml:space="preserve">SEIC building; room not publicly listed</x:t>
        </x:is>
      </x:c>
      <x:c r="C8" s="6" t="n">
        <x:f>IFERROR(VALUE(LEFT(MID($B8,SEARCH("SEIC ",$B8)+5,10),1)),"")</x:f>
        <x:v>0</x:v>
      </x:c>
      <x:c r="D8" s="5" t="inlineStr">
        <x:is>
          <x:t xml:space="preserve">Public page describes aero/fluid dynamics test systems and process control systems.</x:t>
        </x:is>
      </x:c>
      <x:c r="E8" s="5" t="inlineStr">
        <x:is>
          <x:t xml:space="preserve">Catalyze / SEIC campaign page</x:t>
        </x:is>
      </x:c>
      <x:c r="F8" s="7" t="inlineStr">
        <x:is>
          <x:t xml:space="preserve">https://catalyze.sfsu.edu/catalyze/science-engineering-innovation-center</x:t>
        </x:is>
      </x:c>
    </x:row>
    <x:row r="9" ht="30" customHeight="1">
      <x:c r="A9" s="5" t="inlineStr">
        <x:is>
          <x:t xml:space="preserve">Agilent Technologies Teaching Laboratory</x:t>
        </x:is>
      </x:c>
      <x:c r="B9" s="5" t="inlineStr">
        <x:is>
          <x:t xml:space="preserve">SEIC suite 201</x:t>
        </x:is>
      </x:c>
      <x:c r="C9" s="6" t="n">
        <x:f>IFERROR(VALUE(LEFT(MID($B9,SEARCH("SEIC ",$B9)+5,10),1)),"")</x:f>
        <x:v>0</x:v>
      </x:c>
      <x:c r="D9" s="5" t="inlineStr">
        <x:is>
          <x:t xml:space="preserve">Public news page says SEIC suite 201 has been named the Agilent Technologies Teaching Laboratory.</x:t>
        </x:is>
      </x:c>
      <x:c r="E9" s="5" t="inlineStr">
        <x:is>
          <x:t xml:space="preserve">SFSU News</x:t>
        </x:is>
      </x:c>
      <x:c r="F9" s="7" t="inlineStr">
        <x:is>
          <x:t xml:space="preserve">https://news.sfsu.edu/tags/tags/chemistry-and-biochemistry</x:t>
        </x:is>
      </x:c>
    </x:row>
    <x:row r="10" ht="30" customHeight="1">
      <x:c r="A10" s="5" t="inlineStr">
        <x:is>
          <x:t xml:space="preserve">College of Science &amp; Engineering contact office</x:t>
        </x:is>
      </x:c>
      <x:c r="B10" s="5" t="inlineStr">
        <x:is>
          <x:t xml:space="preserve">SEIC 512</x:t>
        </x:is>
      </x:c>
      <x:c r="C10" s="6" t="n">
        <x:f>IFERROR(VALUE(LEFT(MID($B10,SEARCH("SEIC ",$B10)+5,10),1)),"")</x:f>
        <x:v>5</x:v>
      </x:c>
      <x:c r="D10" s="5" t="inlineStr">
        <x:is>
          <x:t xml:space="preserve">Public CoSE contact page lists the college contact location as SEIC 512.</x:t>
        </x:is>
      </x:c>
      <x:c r="E10" s="5" t="inlineStr">
        <x:is>
          <x:t xml:space="preserve">CoSE contact page</x:t>
        </x:is>
      </x:c>
      <x:c r="F10" s="7" t="inlineStr">
        <x:is>
          <x:t xml:space="preserve">https://cose.sfsu.edu/contact-us</x:t>
        </x:is>
      </x:c>
    </x:row>
    <x:row r="11" ht="30" customHeight="1">
      <x:c r="A11" s="5" t="inlineStr">
        <x:is>
          <x:t xml:space="preserve">Student Success Center</x:t>
        </x:is>
      </x:c>
      <x:c r="B11" s="5" t="inlineStr">
        <x:is>
          <x:t xml:space="preserve">SEIC building; room not publicly listed</x:t>
        </x:is>
      </x:c>
      <x:c r="C11" s="6" t="n">
        <x:f>IFERROR(VALUE(LEFT(MID($B11,SEARCH("SEIC ",$B11)+5,10),1)),"")</x:f>
        <x:v>0</x:v>
      </x:c>
      <x:c r="D11" s="5" t="inlineStr">
        <x:is>
          <x:t xml:space="preserve">Listed as one of the components housed in the building.</x:t>
        </x:is>
      </x:c>
      <x:c r="E11" s="5" t="inlineStr">
        <x:is>
          <x:t xml:space="preserve">Catalyze / SEIC campaign page</x:t>
        </x:is>
      </x:c>
      <x:c r="F11" s="7" t="inlineStr">
        <x:is>
          <x:t xml:space="preserve">https://catalyze.sfsu.edu/catalyze/science-engineering-innovation-center</x:t>
        </x:is>
      </x:c>
    </x:row>
    <x:row r="12" ht="30" customHeight="1">
      <x:c r="A12" s="5" t="inlineStr">
        <x:is>
          <x:t xml:space="preserve">Student Enrichment Office</x:t>
        </x:is>
      </x:c>
      <x:c r="B12" s="5" t="inlineStr">
        <x:is>
          <x:t xml:space="preserve">SEIC building; room not publicly listed</x:t>
        </x:is>
      </x:c>
      <x:c r="C12" s="6" t="n">
        <x:f>IFERROR(VALUE(LEFT(MID($B12,SEARCH("SEIC ",$B12)+5,10),1)),"")</x:f>
        <x:v>0</x:v>
      </x:c>
      <x:c r="D12" s="5" t="inlineStr">
        <x:is>
          <x:t xml:space="preserve">Listed as one of the components housed in the building.</x:t>
        </x:is>
      </x:c>
      <x:c r="E12" s="5" t="inlineStr">
        <x:is>
          <x:t xml:space="preserve">Catalyze / SEIC campaign page</x:t>
        </x:is>
      </x:c>
      <x:c r="F12" s="7" t="inlineStr">
        <x:is>
          <x:t xml:space="preserve">https://catalyze.sfsu.edu/catalyze/science-engineering-innovation-center</x:t>
        </x:is>
      </x:c>
    </x:row>
    <x:row r="13" ht="30" customHeight="1">
      <x:c r="A13" s="5" t="inlineStr">
        <x:is>
          <x:t xml:space="preserve">CoSE dean's offices</x:t>
        </x:is>
      </x:c>
      <x:c r="B13" s="5" t="inlineStr">
        <x:is>
          <x:t xml:space="preserve">SEIC building; room not publicly listed</x:t>
        </x:is>
      </x:c>
      <x:c r="C13" s="6" t="n">
        <x:f>IFERROR(VALUE(LEFT(MID($B13,SEARCH("SEIC ",$B13)+5,10),1)),"")</x:f>
        <x:v>0</x:v>
      </x:c>
      <x:c r="D13" s="5" t="inlineStr">
        <x:is>
          <x:t xml:space="preserve">Listed as one of the components housed in the building.</x:t>
        </x:is>
      </x:c>
      <x:c r="E13" s="5" t="inlineStr">
        <x:is>
          <x:t xml:space="preserve">Catalyze / SEIC campaign page</x:t>
        </x:is>
      </x:c>
      <x:c r="F13" s="7" t="inlineStr">
        <x:is>
          <x:t xml:space="preserve">https://catalyze.sfsu.edu/catalyze/science-engineering-innovation-center</x:t>
        </x:is>
      </x:c>
    </x:row>
  </x:sheetData>
  <x:pageMargins left="0.7" right="0.7" top="0.75" bottom="0.75" header="0.3" footer="0.3"/>
  <x:legacyDrawing xmlns:r="http://schemas.openxmlformats.org/officeDocument/2006/relationships" r:id="Rb08c3258ac7746ae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34" hidden="0" customWidth="1"/>
    <x:col min="3" max="3" width="72" hidden="0" customWidth="1"/>
    <x:col min="4" max="4" width="54" hidden="0" customWidth="1"/>
  </x:cols>
  <x:sheetData>
    <x:row r="1" ht="15" hidden="0" customHeight="1">
      <x:c r="A1" s="36" t="str">
        <x:v>Type</x:v>
      </x:c>
      <x:c r="B1" s="36" t="str">
        <x:v>Item</x:v>
      </x:c>
      <x:c r="C1" s="36" t="str">
        <x:v>Detail</x:v>
      </x:c>
      <x:c r="D1" s="36" t="str">
        <x:v>URL</x:v>
      </x:c>
      <x:c r="E1" s="37"/>
      <x:c r="F1" s="37"/>
    </x:row>
    <x:row r="2" ht="26.85546875" hidden="0" customHeight="1">
      <x:c r="A2" s="13" t="str">
        <x:v>Source</x:v>
      </x:c>
      <x:c r="B2" s="13" t="str">
        <x:v>Classroom Technology Database room list</x:v>
      </x:c>
      <x:c r="C2" s="13" t="str">
        <x:v>Public room-by-room listing for SEIC rooms, room type, and in-room A/V/equipment.</x:v>
      </x:c>
      <x:c r="D2" s="13" t="str">
        <x:v>https://classrooms.sfsu.edu/rooms</x:v>
      </x:c>
      <x:c r="E2" s="10"/>
      <x:c r="F2" s="10"/>
    </x:row>
    <x:row r="3" ht="26.85546875" hidden="0" customHeight="1">
      <x:c r="A3" s="13" t="str">
        <x:v>Source</x:v>
      </x:c>
      <x:c r="B3" s="13" t="str">
        <x:v>SFSU School of Engineering faculty page</x:v>
      </x:c>
      <x:c r="C3" s="13" t="str">
        <x:v>Public faculty office listings for many SEIC offices, plus program head / coordinator roles.</x:v>
      </x:c>
      <x:c r="D3" s="13" t="str">
        <x:v>https://engineering.sfsu.edu/faculty</x:v>
      </x:c>
      <x:c r="E3" s="10"/>
      <x:c r="F3" s="10"/>
    </x:row>
    <x:row r="4" ht="26.85546875" hidden="0" customHeight="1">
      <x:c r="A4" s="13" t="str">
        <x:v>Source</x:v>
      </x:c>
      <x:c r="B4" s="13" t="str">
        <x:v>SFSU School of Engineering lecturer faculty + GTA page</x:v>
      </x:c>
      <x:c r="C4" s="13" t="str">
        <x:v>Public lecturer listings and GTA names; many entries include office data while others do not.</x:v>
      </x:c>
      <x:c r="D4" s="13" t="str">
        <x:v>https://engineering.sfsu.edu/lecturer-Faculty-%2B-GTA</x:v>
      </x:c>
      <x:c r="E4" s="10"/>
      <x:c r="F4" s="10"/>
    </x:row>
    <x:row r="5" ht="15" hidden="0" customHeight="1">
      <x:c r="A5" s="13" t="str">
        <x:v>Source</x:v>
      </x:c>
      <x:c r="B5" s="13" t="str">
        <x:v>SFSU School of Engineering staff page</x:v>
      </x:c>
      <x:c r="C5" s="13" t="str">
        <x:v>Public staff roles and office locations; many still show SEC offices outside SEIC.</x:v>
      </x:c>
      <x:c r="D5" s="13" t="str">
        <x:v>https://engineering.sfsu.edu/staff</x:v>
      </x:c>
      <x:c r="E5" s="10"/>
      <x:c r="F5" s="10"/>
    </x:row>
    <x:row r="6" ht="26.85546875" hidden="0" customHeight="1">
      <x:c r="A6" s="13" t="str">
        <x:v>Source</x:v>
      </x:c>
      <x:c r="B6" s="13" t="str">
        <x:v>Catalyze the Future: Science &amp; Engineering Innovation Center</x:v>
      </x:c>
      <x:c r="C6" s="13" t="str">
        <x:v>Public description of named SEIC spaces, including the Large Garage (Room 120) and other engineering facilities.</x:v>
      </x:c>
      <x:c r="D6" s="13" t="str">
        <x:v>https://catalyze.sfsu.edu/catalyze/science-engineering-innovation-center</x:v>
      </x:c>
      <x:c r="E6" s="10"/>
      <x:c r="F6" s="10"/>
    </x:row>
    <x:row r="7" ht="26.85546875" hidden="0" customHeight="1">
      <x:c r="A7" s="13" t="str">
        <x:v>Source</x:v>
      </x:c>
      <x:c r="B7" s="13" t="str">
        <x:v>Engineering Stockroom page</x:v>
      </x:c>
      <x:c r="C7" s="13" t="str">
        <x:v>Public description of the stockroom/machine shop and housed organizations; room number not listed there.</x:v>
      </x:c>
      <x:c r="D7" s="13" t="str">
        <x:v>https://engineering.sfsu.edu/engr-stockroom</x:v>
      </x:c>
      <x:c r="E7" s="10"/>
      <x:c r="F7" s="10"/>
    </x:row>
    <x:row r="8" ht="15" hidden="0" customHeight="1">
      <x:c r="A8" s="13" t="str">
        <x:v>Source</x:v>
      </x:c>
      <x:c r="B8" s="13" t="str">
        <x:v>CoSE contact page</x:v>
      </x:c>
      <x:c r="C8" s="13" t="str">
        <x:v>Public listing showing CoSE contact office at SEIC 512.</x:v>
      </x:c>
      <x:c r="D8" s="13" t="str">
        <x:v>https://cose.sfsu.edu/contact-us</x:v>
      </x:c>
      <x:c r="E8" s="10"/>
      <x:c r="F8" s="10"/>
    </x:row>
    <x:row r="9" ht="26.85546875" hidden="0" customHeight="1">
      <x:c r="A9" s="13" t="str">
        <x:v>Source</x:v>
      </x:c>
      <x:c r="B9" s="13" t="str">
        <x:v>SFSU Class Schedule results page (ENGR, Fall 2026, regular session)</x:v>
      </x:c>
      <x:c r="C9" s="13" t="str">
        <x:v>Public search-results URL checked for ENGR / Fall 2026 / Academic Regular Session.</x:v>
      </x:c>
      <x:c r="D9" s="13" t="str">
        <x:v>https://webapps.sfsu.edu/public/classservices/classsearch/results?searchFor=ENGR&amp;term=2267&amp;classCategory=REG</x:v>
      </x:c>
      <x:c r="E9" s="10"/>
      <x:c r="F9" s="10"/>
    </x:row>
    <x:row r="10" ht="26.85546875" hidden="0" customHeight="1">
      <x:c r="A10" s="13" t="str">
        <x:v>Source</x:v>
      </x:c>
      <x:c r="B10" s="13" t="str">
        <x:v>SFSU Class Schedule main page</x:v>
      </x:c>
      <x:c r="C10" s="13" t="str">
        <x:v>Public class-schedule page showing that Advanced Class Search supports building-location search, with SEIC listed in Location.</x:v>
      </x:c>
      <x:c r="D10" s="13" t="str">
        <x:v>https://webapps.sfsu.edu/public/classservices/classsearch</x:v>
      </x:c>
      <x:c r="E10" s="10"/>
      <x:c r="F10" s="10"/>
    </x:row>
    <x:row r="11" ht="26.85546875" hidden="0" customHeight="1">
      <x:c r="A11" s="13" t="str">
        <x:v>Interpretation note</x:v>
      </x:c>
      <x:c r="B11" s="13" t="str">
        <x:v>Zhaoshuo Jiang office</x:v>
      </x:c>
      <x:c r="C11" s="13" t="str">
        <x:v>The public faculty list and profile/coordinator information do not fully agree: SEIC 334 appears in one section while another faculty-list section shows SEIC 346.</x:v>
      </x:c>
      <x:c r="D11" s="13"/>
      <x:c r="E11" s="10"/>
      <x:c r="F11" s="10"/>
    </x:row>
    <x:row r="12" ht="26.85546875" hidden="0" customHeight="1">
      <x:c r="A12" s="13" t="str">
        <x:v>Interpretation note</x:v>
      </x:c>
      <x:c r="B12" s="13" t="str">
        <x:v>Staff and GTA entries</x:v>
      </x:c>
      <x:c r="C12" s="13" t="str">
        <x:v>This workbook includes official public GTAs and staff entries even when no public office is listed, or when the listed office is in SEC/HH rather than SEIC.</x:v>
      </x:c>
      <x:c r="D12" s="13"/>
      <x:c r="E12" s="10"/>
      <x:c r="F12" s="10"/>
    </x:row>
    <x:row r="13" ht="26.85546875" hidden="0" customHeight="1">
      <x:c r="A13" s="10" t="str">
        <x:v>Interpretation note</x:v>
      </x:c>
      <x:c r="B13" s="10" t="str">
        <x:v>Room type vs office use</x:v>
      </x:c>
      <x:c r="C13" s="10" t="str">
        <x:v>Some rooms appear as shared offices on faculty/lecturer pages but as conference rooms on the classroom database (for example SEIC 327).</x:v>
      </x:c>
      <x:c r="D13" s="10"/>
      <x:c r="E13" s="10"/>
      <x:c r="F13" s="10"/>
    </x:row>
    <x:row r="14" ht="53.7109375" hidden="0" customHeight="1">
      <x:c r="A14" s="10" t="str">
        <x:v>Interpretation note</x:v>
      </x:c>
      <x:c r="B14" s="10" t="str">
        <x:v>Class-search extraction</x:v>
      </x:c>
      <x:c r="C14" s="10" t="str">
        <x:v>The public class-search interface did not expose all live section rows in tool-readable text during this pass; the Class_Schedule sheet therefore records verified page metadata and clearly labeled user-provided schedule context rather than claiming a full scrape.</x:v>
      </x:c>
      <x:c r="D14" s="10"/>
      <x:c r="E14" s="10"/>
      <x:c r="F14" s="10"/>
    </x:row>
    <x:row r="15" ht="15" hidden="0" customHeight="1">
      <x:c r="A15" s="10"/>
      <x:c r="B15" s="10"/>
      <x:c r="C15" s="10"/>
      <x:c r="D15" s="10"/>
      <x:c r="E15" s="10"/>
      <x:c r="F15" s="10"/>
    </x:row>
    <x:row r="16" ht="15" hidden="0" customHeight="1">
      <x:c r="A16" s="10"/>
      <x:c r="B16" s="10"/>
      <x:c r="C16" s="10"/>
      <x:c r="D16" s="10"/>
      <x:c r="E16" s="10"/>
      <x:c r="F16" s="10"/>
    </x:row>
    <x:row r="17" ht="15" hidden="0" customHeight="1">
      <x:c r="A17" s="10"/>
      <x:c r="B17" s="10"/>
      <x:c r="C17" s="10"/>
      <x:c r="D17" s="10"/>
      <x:c r="E17" s="10"/>
      <x:c r="F17" s="10"/>
    </x:row>
    <x:row r="18" ht="15" hidden="0" customHeight="1">
      <x:c r="A18" s="10"/>
      <x:c r="B18" s="10"/>
      <x:c r="C18" s="10"/>
      <x:c r="D18" s="10"/>
      <x:c r="E18" s="10"/>
      <x:c r="F18" s="10"/>
    </x:row>
    <x:row r="19" ht="15" hidden="0" customHeight="1">
      <x:c r="A19" s="10"/>
      <x:c r="B19" s="10"/>
      <x:c r="C19" s="10"/>
      <x:c r="D19" s="10"/>
      <x:c r="E19" s="10"/>
      <x:c r="F19" s="10"/>
    </x:row>
    <x:row r="20" ht="15" hidden="0" customHeight="1">
      <x:c r="A20" s="10"/>
      <x:c r="B20" s="10"/>
      <x:c r="C20" s="10"/>
      <x:c r="D20" s="10"/>
      <x:c r="E20" s="10"/>
      <x:c r="F20" s="10"/>
    </x:row>
    <x:row r="21" ht="15" hidden="0" customHeight="1">
      <x:c r="A21" s="10"/>
      <x:c r="B21" s="10"/>
      <x:c r="C21" s="10"/>
      <x:c r="D21" s="10"/>
      <x:c r="E21" s="10"/>
      <x:c r="F21" s="10"/>
    </x:row>
    <x:row r="22" ht="15" hidden="0" customHeight="1">
      <x:c r="A22" s="10"/>
      <x:c r="B22" s="10"/>
      <x:c r="C22" s="10"/>
      <x:c r="D22" s="10"/>
      <x:c r="E22" s="10"/>
      <x:c r="F22" s="10"/>
    </x:row>
    <x:row r="23" ht="15" hidden="0" customHeight="1">
      <x:c r="A23" s="10"/>
      <x:c r="B23" s="10"/>
      <x:c r="C23" s="10"/>
      <x:c r="D23" s="10"/>
      <x:c r="E23" s="10"/>
      <x:c r="F23" s="10"/>
    </x:row>
    <x:row r="24" ht="15" hidden="0" customHeight="1">
      <x:c r="A24" s="10"/>
      <x:c r="B24" s="10"/>
      <x:c r="C24" s="10"/>
      <x:c r="D24" s="10"/>
      <x:c r="E24" s="10"/>
      <x:c r="F24" s="10"/>
    </x:row>
    <x:row r="25" ht="15" hidden="0" customHeight="1">
      <x:c r="A25" s="10"/>
      <x:c r="B25" s="10"/>
      <x:c r="C25" s="10"/>
      <x:c r="D25" s="10"/>
      <x:c r="E25" s="10"/>
      <x:c r="F25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4" hidden="0" customWidth="1"/>
    <x:col min="4" max="4" width="38" hidden="0" customWidth="1"/>
    <x:col min="5" max="5" width="24" hidden="0" customWidth="1"/>
    <x:col min="6" max="6" width="36" hidden="0" customWidth="1"/>
  </x:cols>
  <x:sheetData>
    <x:row r="1" ht="39.0625" hidden="0" customHeight="1">
      <x:c r="A1" s="29" t="str">
        <x:v>ENGR / SEIC class schedule reference</x:v>
      </x:c>
      <x:c r="B1" s="29"/>
      <x:c r="C1" s="29"/>
      <x:c r="D1" s="29"/>
      <x:c r="E1" s="29"/>
      <x:c r="F1" s="29"/>
    </x:row>
    <x:row r="2" ht="61.03515625" hidden="0" customHeight="1">
      <x:c r="A2" s="27" t="str">
        <x:v>This sheet summarizes what was verifiably observable from SFSU's public class-search pages during this pass, plus known teaching schedule context you previously provided.</x:v>
      </x:c>
      <x:c r="B2" s="27"/>
      <x:c r="C2" s="27"/>
      <x:c r="D2" s="27"/>
      <x:c r="E2" s="27"/>
      <x:c r="F2" s="27"/>
    </x:row>
    <x:row r="3" ht="18" hidden="0" customHeight="1">
      <x:c r="A3" s="27"/>
      <x:c r="B3" s="27"/>
      <x:c r="C3" s="27"/>
      <x:c r="D3" s="27"/>
      <x:c r="E3" s="27"/>
      <x:c r="F3" s="27"/>
    </x:row>
    <x:row r="4" ht="15" hidden="0" customHeight="1">
      <x:c r="A4" s="31" t="str">
        <x:v>Public class-search pages checked</x:v>
      </x:c>
      <x:c r="B4" s="31"/>
      <x:c r="C4" s="31"/>
      <x:c r="D4" s="31"/>
      <x:c r="E4" s="31"/>
      <x:c r="F4" s="31"/>
    </x:row>
    <x:row r="5" ht="15" hidden="0" customHeight="1">
      <x:c r="A5" s="33" t="str">
        <x:v>Verified item</x:v>
      </x:c>
      <x:c r="B5" s="33" t="str">
        <x:v>Value</x:v>
      </x:c>
      <x:c r="C5" s="33" t="str">
        <x:v>Notes</x:v>
      </x:c>
      <x:c r="D5" s="33" t="str">
        <x:v>URL</x:v>
      </x:c>
      <x:c r="E5" s="33"/>
      <x:c r="F5" s="33"/>
    </x:row>
    <x:row r="6" ht="36.62109375" hidden="0" customHeight="1">
      <x:c r="A6" s="27" t="str">
        <x:v>Term</x:v>
      </x:c>
      <x:c r="B6" s="27" t="str">
        <x:v>Fall 2026</x:v>
      </x:c>
      <x:c r="C6" s="27" t="str">
        <x:v>Visible on the ENGR results page.</x:v>
      </x:c>
      <x:c r="D6" s="34" t="str">
        <x:v>https://webapps.sfsu.edu/public/classservices/classsearch/results?searchFor=ENGR&amp;term=2267&amp;classCategory=REG</x:v>
      </x:c>
      <x:c r="E6" s="27"/>
      <x:c r="F6" s="27"/>
    </x:row>
    <x:row r="7" ht="36.62109375" hidden="0" customHeight="1">
      <x:c r="A7" s="27" t="str">
        <x:v>Session</x:v>
      </x:c>
      <x:c r="B7" s="27" t="str">
        <x:v>Academic Regular Session</x:v>
      </x:c>
      <x:c r="C7" s="27" t="str">
        <x:v>Visible on the ENGR results page.</x:v>
      </x:c>
      <x:c r="D7" s="34" t="str">
        <x:v>https://webapps.sfsu.edu/public/classservices/classsearch/results?searchFor=ENGR&amp;term=2267&amp;classCategory=REG</x:v>
      </x:c>
      <x:c r="E7" s="27"/>
      <x:c r="F7" s="27"/>
    </x:row>
    <x:row r="8" ht="36.62109375" hidden="0" customHeight="1">
      <x:c r="A8" s="27" t="str">
        <x:v>Subject / search</x:v>
      </x:c>
      <x:c r="B8" s="27" t="str">
        <x:v>ENGR</x:v>
      </x:c>
      <x:c r="C8" s="27" t="str">
        <x:v>Visible on the ENGR results page.</x:v>
      </x:c>
      <x:c r="D8" s="34" t="str">
        <x:v>https://webapps.sfsu.edu/public/classservices/classsearch/results?searchFor=ENGR&amp;term=2267&amp;classCategory=REG</x:v>
      </x:c>
      <x:c r="E8" s="27"/>
      <x:c r="F8" s="27"/>
    </x:row>
    <x:row r="9" ht="36.62109375" hidden="0" customHeight="1">
      <x:c r="A9" s="27" t="str">
        <x:v>Results page timestamp</x:v>
      </x:c>
      <x:c r="B9" s="27" t="str">
        <x:v>As of April 21, 2026 18:54 PDT</x:v>
      </x:c>
      <x:c r="C9" s="27" t="str">
        <x:v>Timestamp shown in the public page text view used for this pass.</x:v>
      </x:c>
      <x:c r="D9" s="34" t="str">
        <x:v>https://webapps.sfsu.edu/public/classservices/classsearch/results?searchFor=ENGR&amp;term=2267&amp;classCategory=REG</x:v>
      </x:c>
      <x:c r="E9" s="27"/>
      <x:c r="F9" s="27"/>
    </x:row>
    <x:row r="10" ht="24.4140625" hidden="0" customHeight="1">
      <x:c r="A10" s="27" t="str">
        <x:v>Advanced search capability</x:v>
      </x:c>
      <x:c r="B10" s="27" t="str">
        <x:v>Building-location search is supported</x:v>
      </x:c>
      <x:c r="C10" s="27" t="str">
        <x:v>The public class-schedule page says Advanced Class Search can search by building location.</x:v>
      </x:c>
      <x:c r="D10" s="34" t="str">
        <x:v>https://webapps.sfsu.edu/public/classservices/classsearch</x:v>
      </x:c>
      <x:c r="E10" s="27"/>
      <x:c r="F10" s="27"/>
    </x:row>
    <x:row r="11" ht="24.4140625" hidden="0" customHeight="1">
      <x:c r="A11" s="27" t="str">
        <x:v>SEIC building option</x:v>
      </x:c>
      <x:c r="B11" s="27" t="str">
        <x:v>Sci &amp; Engr Innov Center (SEIC)</x:v>
      </x:c>
      <x:c r="C11" s="27" t="str">
        <x:v>SEIC appears in the public advanced-search Location list.</x:v>
      </x:c>
      <x:c r="D11" s="34" t="str">
        <x:v>https://webapps.sfsu.edu/public/classservices/classsearch</x:v>
      </x:c>
      <x:c r="E11" s="27"/>
      <x:c r="F11" s="27"/>
    </x:row>
    <x:row r="12" ht="36.62109375" hidden="0" customHeight="1">
      <x:c r="A12" s="27" t="str">
        <x:v>Extraction limitation</x:v>
      </x:c>
      <x:c r="B12" s="27" t="str">
        <x:v>Full live section rows were not tool-readable in this pass</x:v>
      </x:c>
      <x:c r="C12" s="27" t="str">
        <x:v>Use this as a reference sheet, not as a full registrar export.</x:v>
      </x:c>
      <x:c r="D12" s="34" t="str">
        <x:v>https://webapps.sfsu.edu/public/classservices/classsearch/results?searchFor=ENGR&amp;term=2267&amp;classCategory=REG</x:v>
      </x:c>
      <x:c r="E12" s="27"/>
      <x:c r="F12" s="27"/>
    </x:row>
    <x:row r="13" ht="18" hidden="0" customHeight="1">
      <x:c r="A13" s="27"/>
      <x:c r="B13" s="27"/>
      <x:c r="C13" s="27"/>
      <x:c r="D13" s="27"/>
      <x:c r="E13" s="27"/>
      <x:c r="F13" s="27"/>
    </x:row>
    <x:row r="14" ht="24.4140625" hidden="0" customHeight="1">
      <x:c r="A14" s="31" t="str">
        <x:v>Known teaching schedule context already provided by user</x:v>
      </x:c>
      <x:c r="B14" s="31"/>
      <x:c r="C14" s="31"/>
      <x:c r="D14" s="31"/>
      <x:c r="E14" s="31"/>
      <x:c r="F14" s="31"/>
    </x:row>
    <x:row r="15" ht="15" hidden="0" customHeight="1">
      <x:c r="A15" s="33" t="str">
        <x:v>Course</x:v>
      </x:c>
      <x:c r="B15" s="33" t="str">
        <x:v>Section</x:v>
      </x:c>
      <x:c r="C15" s="33" t="str">
        <x:v>Meeting day/time</x:v>
      </x:c>
      <x:c r="D15" s="33" t="str">
        <x:v>Location</x:v>
      </x:c>
      <x:c r="E15" s="33" t="str">
        <x:v>Role / note</x:v>
      </x:c>
      <x:c r="F15" s="33" t="str">
        <x:v>Source</x:v>
      </x:c>
    </x:row>
    <x:row r="16" ht="24.4140625" hidden="0" customHeight="1">
      <x:c r="A16" s="27" t="str">
        <x:v>ENGR 221 Lab</x:v>
      </x:c>
      <x:c r="B16" s="27" t="str">
        <x:v>[04]</x:v>
      </x:c>
      <x:c r="C16" s="27" t="str">
        <x:v>Mondays 12:30 PM - 3:15 PM</x:v>
      </x:c>
      <x:c r="D16" s="27" t="str">
        <x:v>SEIC 412</x:v>
      </x:c>
      <x:c r="E16" s="27" t="str">
        <x:v>Teaching section</x:v>
      </x:c>
      <x:c r="F16" s="27" t="str">
        <x:v>User-provided schedule context in prior conversation</x:v>
      </x:c>
    </x:row>
    <x:row r="17" ht="24.4140625" hidden="0" customHeight="1">
      <x:c r="A17" s="27" t="str">
        <x:v>ENGR 478 Lab</x:v>
      </x:c>
      <x:c r="B17" s="27" t="str">
        <x:v>[02]</x:v>
      </x:c>
      <x:c r="C17" s="27" t="str">
        <x:v>Tuesdays 3:30 PM - 6:15 PM</x:v>
      </x:c>
      <x:c r="D17" s="27" t="str">
        <x:v>SEIC 416</x:v>
      </x:c>
      <x:c r="E17" s="27" t="str">
        <x:v>Teaching section</x:v>
      </x:c>
      <x:c r="F17" s="27" t="str">
        <x:v>User-provided schedule context in prior conversation</x:v>
      </x:c>
    </x:row>
    <x:row r="18" ht="24.4140625" hidden="0" customHeight="1">
      <x:c r="A18" s="27" t="str">
        <x:v>ENGR 478 Lab</x:v>
      </x:c>
      <x:c r="B18" s="27" t="str">
        <x:v>[04]</x:v>
      </x:c>
      <x:c r="C18" s="27" t="str">
        <x:v>Thursdays 3:30 PM - 6:15 PM</x:v>
      </x:c>
      <x:c r="D18" s="27" t="str">
        <x:v>SEIC 417</x:v>
      </x:c>
      <x:c r="E18" s="27" t="str">
        <x:v>Teaching section</x:v>
      </x:c>
      <x:c r="F18" s="27" t="str">
        <x:v>User-provided schedule context in prior conversation</x:v>
      </x:c>
    </x:row>
    <x:row r="19" ht="18" hidden="0" customHeight="1">
      <x:c r="A19" s="27"/>
      <x:c r="B19" s="27"/>
      <x:c r="C19" s="27"/>
      <x:c r="D19" s="27"/>
      <x:c r="E19" s="27"/>
      <x:c r="F19" s="27"/>
    </x:row>
    <x:row r="20" ht="15" hidden="0" customHeight="1">
      <x:c r="A20" s="31" t="str">
        <x:v>How to use this sheet</x:v>
      </x:c>
      <x:c r="B20" s="31"/>
      <x:c r="C20" s="31"/>
      <x:c r="D20" s="31"/>
      <x:c r="E20" s="31"/>
      <x:c r="F20" s="31"/>
    </x:row>
    <x:row r="21" ht="73.2421875" hidden="0" customHeight="1">
      <x:c r="A21" s="27" t="str">
        <x:v>Use the public class-search URL to manually verify live sections, then compare any SEIC room assignments against the SEIC_Rooms and People_Offices sheets.</x:v>
      </x:c>
      <x:c r="B21" s="27"/>
      <x:c r="C21" s="27"/>
      <x:c r="D21" s="27"/>
      <x:c r="E21" s="27"/>
      <x:c r="F21" s="27"/>
    </x:row>
    <x:row r="22" ht="15" hidden="0" customHeight="1">
      <x:c r="A22" s="27"/>
      <x:c r="B22" s="27"/>
      <x:c r="C22" s="27"/>
      <x:c r="D22" s="27"/>
      <x:c r="E22" s="27"/>
      <x:c r="F22" s="27"/>
    </x:row>
  </x:sheetData>
  <x:pageMargins left="0.7" right="0.7" top="0.75" bottom="0.75" header="0.3" footer="0.3"/>
</x:worksheet>
</file>