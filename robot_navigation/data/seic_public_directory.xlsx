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6a24fdc7b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882c0784d5b448c"/>
    <x:sheet xmlns:r="http://schemas.openxmlformats.org/officeDocument/2006/relationships" name="SEIC_Rooms" sheetId="2" r:id="Ra511fc44fddf4345"/>
    <x:sheet xmlns:r="http://schemas.openxmlformats.org/officeDocument/2006/relationships" name="People_Offices" sheetId="3" r:id="Rc78b5096f1a24bed"/>
    <x:sheet xmlns:r="http://schemas.openxmlformats.org/officeDocument/2006/relationships" name="Named_Spaces" sheetId="4" r:id="R8665ec30ec2646a0"/>
    <x:sheet xmlns:r="http://schemas.openxmlformats.org/officeDocument/2006/relationships" name="Notes_Sources" sheetId="5" r:id="Rbb00eae633324f2b"/>
  </x:sheets>
  <x:definedNames>
    <x:definedName name="_xlnm._FilterDatabase" localSheetId="1" hidden="1">'SEIC_Rooms'!$A$1:$H$50</x:definedName>
    <x:definedName name="_xlnm._FilterDatabase" localSheetId="2" hidden="1">'People_Offices'!$A$1:$H$39</x:definedName>
    <x:definedName name="_xlnm._FilterDatabase" localSheetId="3" hidden="1">'Named_Spaces'!$A$1:$F$13</x:definedName>
    <x:definedName name="_xlnm._FilterDatabase" localSheetId="4" hidden="1">'Notes_Sources'!$A$1:$D$12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SEIC rooms are taken from the public Classroom Technology Database.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People_Offices uses publicly listed office assignments from engineering faculty and lecturer pages.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Named_Spaces includes public descriptions of labs/workshops; some do not have public room numbers.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color rgb="00444444"/>
    </x:font>
    <x:font>
      <x:color rgb="00000000"/>
    </x:font>
    <x:font>
      <x:color rgb="00008000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3" fillId="2" borderId="0" xfId="0" applyAlignment="1">
      <x:alignment horizontal="center" vertical="center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6" fillId="0" borderId="0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55d38cc87408a" /><Relationship Type="http://schemas.openxmlformats.org/officeDocument/2006/relationships/theme" Target="/xl/theme/theme1.xml" Id="R40edf1350b5a42fd" /><Relationship Type="http://schemas.openxmlformats.org/officeDocument/2006/relationships/sharedStrings" Target="/xl/sharedStrings.xml" Id="R99cde77eff254c28" /><Relationship Type="http://schemas.openxmlformats.org/officeDocument/2006/relationships/worksheet" Target="/xl/worksheets/sheet1.xml" Id="Rc882c0784d5b448c" /><Relationship Type="http://schemas.openxmlformats.org/officeDocument/2006/relationships/worksheet" Target="/xl/worksheets/sheet2.xml" Id="Ra511fc44fddf4345" /><Relationship Type="http://schemas.openxmlformats.org/officeDocument/2006/relationships/worksheet" Target="/xl/worksheets/sheet3.xml" Id="Rc78b5096f1a24bed" /><Relationship Type="http://schemas.openxmlformats.org/officeDocument/2006/relationships/worksheet" Target="/xl/worksheets/sheet4.xml" Id="R8665ec30ec2646a0" /><Relationship Type="http://schemas.openxmlformats.org/officeDocument/2006/relationships/worksheet" Target="/xl/worksheets/sheet5.xml" Id="Rbb00eae633324f2b" /><Relationship Type="http://schemas.microsoft.com/office/2017/10/relationships/person" Target="/xl/persons/person.xml" Id="Rcdbe95ee79a6483d" /></Relationships>
</file>

<file path=xl/persons/person.xml><?xml version="1.0" encoding="utf-8"?>
<xltc:personList xmlns:xltc="http://schemas.microsoft.com/office/spreadsheetml/2018/threadedcomments">
  <xltc:person displayName="OpenAI" id="{A184B042-46D7-1B53-B9F9-764DBD3B34A3}"/>
  <xltc:person displayName="OpenAI" id="{C64B1DA1-F35D-5BC2-45C3-EE0AB7932B50}"/>
  <xltc:person displayName="OpenAI" id="{52CEDE48-3F12-A6EA-79B3-94013031516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95ce87331484692" /><Relationship Type="http://schemas.openxmlformats.org/officeDocument/2006/relationships/vmlDrawing" Target="/xl/drawings/vmldrawing.vml" Id="Rd184ec000609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381324953c6547fa" /><Relationship Type="http://schemas.openxmlformats.org/officeDocument/2006/relationships/vmlDrawing" Target="/xl/drawings/vmldrawing2.vml" Id="R8b19f2179050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9dd99a3cfcf64a45" /><Relationship Type="http://schemas.openxmlformats.org/officeDocument/2006/relationships/vmlDrawing" Target="/xl/drawings/vmldrawing3.vml" Id="R222f7b75e22b443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1" t="inlineStr">
        <x:is>
          <x:t xml:space="preserve">Science &amp; Engineering Innovation Center (SEIC) public directory</x:t>
        </x:is>
      </x:c>
    </x:row>
    <x:row r="2" ht="28" customHeight="1">
      <x:c r="A2" s="2" t="inlineStr">
        <x:is>
          <x:t xml:space="preserve">This workbook compiles publicly visible SEIC room, office, and named-space information from official SFSU webpages.</x:t>
        </x:is>
      </x:c>
    </x:row>
    <x:row r="3" ht="28" customHeight="1">
      <x:c r="A3" s="2" t="inlineStr">
        <x:is>
          <x:t xml:space="preserve">It is useful as a public reference, but it is not a guaranteed complete internal room inventory.</x:t>
        </x:is>
      </x:c>
    </x:row>
    <x:row r="4" ht="28" customHeight="1">
      <x:c r="A4" t="inlineStr">
        <x:is>
          <x:t xml:space="preserve"/>
        </x:is>
      </x:c>
    </x:row>
    <x:row r="5" ht="28" customHeight="1">
      <x:c r="A5" s="3" t="inlineStr">
        <x:is>
          <x:t xml:space="preserve">What is included</x:t>
        </x:is>
      </x:c>
    </x:row>
    <x:row r="6" ht="28" customHeight="1">
      <x:c r="A6" s="2" t="inlineStr">
        <x:is>
          <x:t xml:space="preserve">• Publicly listed SEIC rooms from the Classroom Technology Database</x:t>
        </x:is>
      </x:c>
    </x:row>
    <x:row r="7" ht="28" customHeight="1">
      <x:c r="A7" s="2" t="inlineStr">
        <x:is>
          <x:t xml:space="preserve">• Publicly listed faculty and lecturer office assignments in SEIC</x:t>
        </x:is>
      </x:c>
    </x:row>
    <x:row r="8" ht="28" customHeight="1">
      <x:c r="A8" s="2" t="inlineStr">
        <x:is>
          <x:t xml:space="preserve">• Publicly described named spaces/workshops/labs in SEIC</x:t>
        </x:is>
      </x:c>
    </x:row>
    <x:row r="9" ht="28" customHeight="1">
      <x:c r="A9" t="inlineStr">
        <x:is>
          <x:t xml:space="preserve"/>
        </x:is>
      </x:c>
    </x:row>
    <x:row r="10" ht="28" customHeight="1">
      <x:c r="A10" s="3" t="inlineStr">
        <x:is>
          <x:t xml:space="preserve">Known limitations / caveats</x:t>
        </x:is>
      </x:c>
    </x:row>
    <x:row r="11" ht="28" customHeight="1">
      <x:c r="A11" s="2" t="inlineStr">
        <x:is>
          <x:t xml:space="preserve">• Some public pages conflict or lag behind each other (for example, Zhaoshuo Jiang is listed as SEIC 334 on a profile page, while one faculty-list section shows SEIC 346).</x:t>
        </x:is>
      </x:c>
    </x:row>
    <x:row r="12" ht="28" customHeight="1">
      <x:c r="A12" s="2" t="inlineStr">
        <x:is>
          <x:t xml:space="preserve">• Some named spaces (machine shop, robotics lab, applied project space, etc.) are publicly described without room numbers.</x:t>
        </x:is>
      </x:c>
    </x:row>
    <x:row r="13" ht="28" customHeight="1">
      <x:c r="A13" s="2" t="inlineStr">
        <x:is>
          <x:t xml:space="preserve">• Some school administrative pages still reference SEC 311 / SEC 311A outside SEIC; those are noted in the Notes &amp; Sources sheet and not mixed into the SEIC room list.</x:t>
        </x:is>
      </x:c>
    </x:row>
    <x:row r="14" ht="28" customHeight="1">
      <x:c r="A14" t="inlineStr">
        <x:is>
          <x:t xml:space="preserve"/>
        </x:is>
      </x:c>
    </x:row>
    <x:row r="15" ht="28" customHeight="1">
      <x:c r="A15" s="3" t="inlineStr">
        <x:is>
          <x:t xml:space="preserve">Sheet guide</x:t>
        </x:is>
      </x:c>
    </x:row>
    <x:row r="16" ht="28" customHeight="1">
      <x:c r="A16" s="2" t="inlineStr">
        <x:is>
          <x:t xml:space="preserve">SEIC_Rooms = public SEIC rooms and room types</x:t>
        </x:is>
      </x:c>
    </x:row>
    <x:row r="17" ht="28" customHeight="1">
      <x:c r="A17" s="2" t="inlineStr">
        <x:is>
          <x:t xml:space="preserve">People_Offices = public names and office assignments in SEIC</x:t>
        </x:is>
      </x:c>
    </x:row>
    <x:row r="18" ht="28" customHeight="1">
      <x:c r="A18" s="2" t="inlineStr">
        <x:is>
          <x:t xml:space="preserve">Named_Spaces = public labs, makerspaces, and workshops in SEIC</x:t>
        </x:is>
      </x:c>
    </x:row>
    <x:row r="19" ht="28" customHeight="1">
      <x:c r="A19" s="2" t="inlineStr">
        <x:is>
          <x:t xml:space="preserve">Notes_Sources = source URLs and interpretation notes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8" customWidth="1"/>
    <x:col min="3" max="3" width="24" customWidth="1"/>
    <x:col min="4" max="4" width="18" customWidth="1"/>
    <x:col min="5" max="5" width="38" customWidth="1"/>
    <x:col min="6" max="6" width="24" customWidth="1"/>
    <x:col min="7" max="7" width="36" customWidth="1"/>
    <x:col min="8" max="8" width="48" customWidth="1"/>
  </x:cols>
  <x:sheetData>
    <x:row r="1">
      <x:c r="A1" s="4" t="inlineStr">
        <x:is>
          <x:t xml:space="preserve">Room</x:t>
        </x:is>
      </x:c>
      <x:c r="B1" s="4" t="inlineStr">
        <x:is>
          <x:t xml:space="preserve">Floor</x:t>
        </x:is>
      </x:c>
      <x:c r="C1" s="4" t="inlineStr">
        <x:is>
          <x:t xml:space="preserve">Public room type</x:t>
        </x:is>
      </x:c>
      <x:c r="D1" s="4" t="inlineStr">
        <x:is>
          <x:t xml:space="preserve">Category</x:t>
        </x:is>
      </x:c>
      <x:c r="E1" s="4" t="inlineStr">
        <x:is>
          <x:t xml:space="preserve">A/V or equipment</x:t>
        </x:is>
      </x:c>
      <x:c r="F1" s="4" t="inlineStr">
        <x:is>
          <x:t xml:space="preserve">Source page</x:t>
        </x:is>
      </x:c>
      <x:c r="G1" s="4" t="inlineStr">
        <x:is>
          <x:t xml:space="preserve">Source URL</x:t>
        </x:is>
      </x:c>
      <x:c r="H1" s="4" t="inlineStr">
        <x:is>
          <x:t xml:space="preserve">Notes</x:t>
        </x:is>
      </x:c>
    </x:row>
    <x:row r="2" ht="30" customHeight="1">
      <x:c r="A2" s="5" t="inlineStr">
        <x:is>
          <x:t xml:space="preserve">SEIC 100</x:t>
        </x:is>
      </x:c>
      <x:c r="B2" s="6">
        <x:f>IFERROR(VALUE(LEFT(SUBSTITUTE($A2,"SEIC ",""),1)),"")</x:f>
        <x:v>1</x:v>
      </x:c>
      <x:c r="C2" s="5" t="inlineStr">
        <x:is>
          <x:t xml:space="preserve">Science / Engineering Lab</x:t>
        </x:is>
      </x:c>
      <x:c r="D2" s="5" t="inlineStr">
        <x:is>
          <x:t xml:space="preserve">Lab</x:t>
        </x:is>
      </x:c>
      <x:c r="E2" s="5" t="inlineStr">
        <x:is>
          <x:t xml:space="preserve">LCD TV, HDMI</x:t>
        </x:is>
      </x:c>
      <x:c r="F2" s="7" t="inlineStr">
        <x:is>
          <x:t xml:space="preserve">Classroom Technology Database</x:t>
        </x:is>
      </x:c>
      <x:c r="G2" s="7" t="inlineStr">
        <x:is>
          <x:t xml:space="preserve">https://classrooms.sfsu.edu/rooms</x:t>
        </x:is>
      </x:c>
      <x:c r="H2" s="7" t="inlineStr">
        <x:is>
          <x:t xml:space="preserve"/>
        </x:is>
      </x:c>
    </x:row>
    <x:row r="3" ht="30" customHeight="1">
      <x:c r="A3" s="5" t="inlineStr">
        <x:is>
          <x:t xml:space="preserve">SEIC 101</x:t>
        </x:is>
      </x:c>
      <x:c r="B3" s="6">
        <x:f>IFERROR(VALUE(LEFT(SUBSTITUTE($A3,"SEIC ",""),1)),"")</x:f>
        <x:v>1</x:v>
      </x:c>
      <x:c r="C3" s="5" t="inlineStr">
        <x:is>
          <x:t xml:space="preserve">Classroom</x:t>
        </x:is>
      </x:c>
      <x:c r="D3" s="5" t="inlineStr">
        <x:is>
          <x:t xml:space="preserve">Classroom</x:t>
        </x:is>
      </x:c>
      <x:c r="E3" s="5" t="inlineStr">
        <x:is>
          <x:t xml:space="preserve">LCD Projector, HDMI</x:t>
        </x:is>
      </x:c>
      <x:c r="F3" s="7" t="inlineStr">
        <x:is>
          <x:t xml:space="preserve">Classroom Technology Database</x:t>
        </x:is>
      </x:c>
      <x:c r="G3" s="7" t="inlineStr">
        <x:is>
          <x:t xml:space="preserve">https://classrooms.sfsu.edu/rooms</x:t>
        </x:is>
      </x:c>
      <x:c r="H3" s="7" t="inlineStr">
        <x:is>
          <x:t xml:space="preserve"/>
        </x:is>
      </x:c>
    </x:row>
    <x:row r="4" ht="30" customHeight="1">
      <x:c r="A4" s="5" t="inlineStr">
        <x:is>
          <x:t xml:space="preserve">SEIC 103</x:t>
        </x:is>
      </x:c>
      <x:c r="B4" s="6">
        <x:f>IFERROR(VALUE(LEFT(SUBSTITUTE($A4,"SEIC ",""),1)),"")</x:f>
        <x:v>1</x:v>
      </x:c>
      <x:c r="C4" s="5" t="inlineStr">
        <x:is>
          <x:t xml:space="preserve">Classroom</x:t>
        </x:is>
      </x:c>
      <x:c r="D4" s="5" t="inlineStr">
        <x:is>
          <x:t xml:space="preserve">Classroom</x:t>
        </x:is>
      </x:c>
      <x:c r="E4" s="5" t="inlineStr">
        <x:is>
          <x:t xml:space="preserve">HDMI</x:t>
        </x:is>
      </x:c>
      <x:c r="F4" s="7" t="inlineStr">
        <x:is>
          <x:t xml:space="preserve">Classroom Technology Database</x:t>
        </x:is>
      </x:c>
      <x:c r="G4" s="7" t="inlineStr">
        <x:is>
          <x:t xml:space="preserve">https://classrooms.sfsu.edu/rooms</x:t>
        </x:is>
      </x:c>
      <x:c r="H4" s="7" t="inlineStr">
        <x:is>
          <x:t xml:space="preserve"/>
        </x:is>
      </x:c>
    </x:row>
    <x:row r="5" ht="30" customHeight="1">
      <x:c r="A5" s="5" t="inlineStr">
        <x:is>
          <x:t xml:space="preserve">SEIC 110</x:t>
        </x:is>
      </x:c>
      <x:c r="B5" s="6">
        <x:f>IFERROR(VALUE(LEFT(SUBSTITUTE($A5,"SEIC ",""),1)),"")</x:f>
        <x:v>1</x:v>
      </x:c>
      <x:c r="C5" s="5" t="inlineStr">
        <x:is>
          <x:t xml:space="preserve">Study Room</x:t>
        </x:is>
      </x:c>
      <x:c r="D5" s="5" t="inlineStr">
        <x:is>
          <x:t xml:space="preserve">Study Room</x:t>
        </x:is>
      </x:c>
      <x:c r="E5" s="5" t="inlineStr">
        <x:is>
          <x:t xml:space="preserve">LCD TV, HDMI</x:t>
        </x:is>
      </x:c>
      <x:c r="F5" s="7" t="inlineStr">
        <x:is>
          <x:t xml:space="preserve">Classroom Technology Database</x:t>
        </x:is>
      </x:c>
      <x:c r="G5" s="7" t="inlineStr">
        <x:is>
          <x:t xml:space="preserve">https://classrooms.sfsu.edu/rooms</x:t>
        </x:is>
      </x:c>
      <x:c r="H5" s="7" t="inlineStr">
        <x:is>
          <x:t xml:space="preserve"/>
        </x:is>
      </x:c>
    </x:row>
    <x:row r="6" ht="30" customHeight="1">
      <x:c r="A6" s="5" t="inlineStr">
        <x:is>
          <x:t xml:space="preserve">SEIC 111</x:t>
        </x:is>
      </x:c>
      <x:c r="B6" s="6">
        <x:f>IFERROR(VALUE(LEFT(SUBSTITUTE($A6,"SEIC ",""),1)),"")</x:f>
        <x:v>1</x:v>
      </x:c>
      <x:c r="C6" s="5" t="inlineStr">
        <x:is>
          <x:t xml:space="preserve">Science / Engineering Lab</x:t>
        </x:is>
      </x:c>
      <x:c r="D6" s="5" t="inlineStr">
        <x:is>
          <x:t xml:space="preserve">Lab</x:t>
        </x:is>
      </x:c>
      <x:c r="E6" s="5" t="inlineStr">
        <x:is>
          <x:t xml:space="preserve">LCD Projector, HDMI</x:t>
        </x:is>
      </x:c>
      <x:c r="F6" s="7" t="inlineStr">
        <x:is>
          <x:t xml:space="preserve">Classroom Technology Database</x:t>
        </x:is>
      </x:c>
      <x:c r="G6" s="7" t="inlineStr">
        <x:is>
          <x:t xml:space="preserve">https://classrooms.sfsu.edu/rooms</x:t>
        </x:is>
      </x:c>
      <x:c r="H6" s="7" t="inlineStr">
        <x:is>
          <x:t xml:space="preserve"/>
        </x:is>
      </x:c>
    </x:row>
    <x:row r="7" ht="30" customHeight="1">
      <x:c r="A7" s="5" t="inlineStr">
        <x:is>
          <x:t xml:space="preserve">SEIC 115</x:t>
        </x:is>
      </x:c>
      <x:c r="B7" s="6">
        <x:f>IFERROR(VALUE(LEFT(SUBSTITUTE($A7,"SEIC ",""),1)),"")</x:f>
        <x:v>1</x:v>
      </x:c>
      <x:c r="C7" s="5" t="inlineStr">
        <x:is>
          <x:t xml:space="preserve">Classroom</x:t>
        </x:is>
      </x:c>
      <x:c r="D7" s="5" t="inlineStr">
        <x:is>
          <x:t xml:space="preserve">Classroom</x:t>
        </x:is>
      </x:c>
      <x:c r="E7" s="5" t="inlineStr">
        <x:is>
          <x:t xml:space="preserve">LCD Projector, HDMI</x:t>
        </x:is>
      </x:c>
      <x:c r="F7" s="7" t="inlineStr">
        <x:is>
          <x:t xml:space="preserve">Classroom Technology Database</x:t>
        </x:is>
      </x:c>
      <x:c r="G7" s="7" t="inlineStr">
        <x:is>
          <x:t xml:space="preserve">https://classrooms.sfsu.edu/rooms</x:t>
        </x:is>
      </x:c>
      <x:c r="H7" s="7" t="inlineStr">
        <x:is>
          <x:t xml:space="preserve"/>
        </x:is>
      </x:c>
    </x:row>
    <x:row r="8" ht="30" customHeight="1">
      <x:c r="A8" s="5" t="inlineStr">
        <x:is>
          <x:t xml:space="preserve">SEIC 116</x:t>
        </x:is>
      </x:c>
      <x:c r="B8" s="6">
        <x:f>IFERROR(VALUE(LEFT(SUBSTITUTE($A8,"SEIC ",""),1)),"")</x:f>
        <x:v>1</x:v>
      </x:c>
      <x:c r="C8" s="5" t="inlineStr">
        <x:is>
          <x:t xml:space="preserve">Lecture Hall</x:t>
        </x:is>
      </x:c>
      <x:c r="D8" s="5" t="inlineStr">
        <x:is>
          <x:t xml:space="preserve">Lecture Hall</x:t>
        </x:is>
      </x:c>
      <x:c r="E8" s="5" t="inlineStr">
        <x:is>
          <x:t xml:space="preserve">LCD Projector, LCD TV, HDMI, Mic, Doc Cam, Zoom Enabled, Blu-ray</x:t>
        </x:is>
      </x:c>
      <x:c r="F8" s="7" t="inlineStr">
        <x:is>
          <x:t xml:space="preserve">Classroom Technology Database</x:t>
        </x:is>
      </x:c>
      <x:c r="G8" s="7" t="inlineStr">
        <x:is>
          <x:t xml:space="preserve">https://classrooms.sfsu.edu/rooms</x:t>
        </x:is>
      </x:c>
      <x:c r="H8" s="7" t="inlineStr">
        <x:is>
          <x:t xml:space="preserve"/>
        </x:is>
      </x:c>
    </x:row>
    <x:row r="9" ht="30" customHeight="1">
      <x:c r="A9" s="5" t="inlineStr">
        <x:is>
          <x:t xml:space="preserve">SEIC 120</x:t>
        </x:is>
      </x:c>
      <x:c r="B9" s="6">
        <x:f>IFERROR(VALUE(LEFT(SUBSTITUTE($A9,"SEIC ",""),1)),"")</x:f>
        <x:v>1</x:v>
      </x:c>
      <x:c r="C9" s="5" t="inlineStr">
        <x:is>
          <x:t xml:space="preserve">Science / Engineering Lab</x:t>
        </x:is>
      </x:c>
      <x:c r="D9" s="5" t="inlineStr">
        <x:is>
          <x:t xml:space="preserve">Lab</x:t>
        </x:is>
      </x:c>
      <x:c r="E9" s="5" t="inlineStr">
        <x:is>
          <x:t xml:space="preserve">LCD Projector, HDMI</x:t>
        </x:is>
      </x:c>
      <x:c r="F9" s="7" t="inlineStr">
        <x:is>
          <x:t xml:space="preserve">Classroom Technology Database</x:t>
        </x:is>
      </x:c>
      <x:c r="G9" s="7" t="inlineStr">
        <x:is>
          <x:t xml:space="preserve">https://classrooms.sfsu.edu/rooms</x:t>
        </x:is>
      </x:c>
      <x:c r="H9" s="7" t="inlineStr">
        <x:is>
          <x:t xml:space="preserve">Catalyze page explicitly identifies Room 120 as the Large Garage makerspace.</x:t>
        </x:is>
      </x:c>
    </x:row>
    <x:row r="10" ht="30" customHeight="1">
      <x:c r="A10" s="5" t="inlineStr">
        <x:is>
          <x:t xml:space="preserve">SEIC 121</x:t>
        </x:is>
      </x:c>
      <x:c r="B10" s="6">
        <x:f>IFERROR(VALUE(LEFT(SUBSTITUTE($A10,"SEIC ",""),1)),"")</x:f>
        <x:v>1</x:v>
      </x:c>
      <x:c r="C10" s="5" t="inlineStr">
        <x:is>
          <x:t xml:space="preserve">Science / Engineering Lab</x:t>
        </x:is>
      </x:c>
      <x:c r="D10" s="5" t="inlineStr">
        <x:is>
          <x:t xml:space="preserve">Lab</x:t>
        </x:is>
      </x:c>
      <x:c r="E10" s="5" t="inlineStr">
        <x:is>
          <x:t xml:space="preserve">LCD TV, HDMI</x:t>
        </x:is>
      </x:c>
      <x:c r="F10" s="7" t="inlineStr">
        <x:is>
          <x:t xml:space="preserve">Classroom Technology Database</x:t>
        </x:is>
      </x:c>
      <x:c r="G10" s="7" t="inlineStr">
        <x:is>
          <x:t xml:space="preserve">https://classrooms.sfsu.edu/rooms</x:t>
        </x:is>
      </x:c>
      <x:c r="H10" s="7" t="inlineStr">
        <x:is>
          <x:t xml:space="preserve"/>
        </x:is>
      </x:c>
    </x:row>
    <x:row r="11" ht="30" customHeight="1">
      <x:c r="A11" s="5" t="inlineStr">
        <x:is>
          <x:t xml:space="preserve">SEIC 203</x:t>
        </x:is>
      </x:c>
      <x:c r="B11" s="6">
        <x:f>IFERROR(VALUE(LEFT(SUBSTITUTE($A11,"SEIC ",""),1)),"")</x:f>
        <x:v>2</x:v>
      </x:c>
      <x:c r="C11" s="5" t="inlineStr">
        <x:is>
          <x:t xml:space="preserve">Classroom</x:t>
        </x:is>
      </x:c>
      <x:c r="D11" s="5" t="inlineStr">
        <x:is>
          <x:t xml:space="preserve">Classroom</x:t>
        </x:is>
      </x:c>
      <x:c r="E11" s="5" t="inlineStr">
        <x:is>
          <x:t xml:space="preserve">LCD Projector, HDMI</x:t>
        </x:is>
      </x:c>
      <x:c r="F11" s="7" t="inlineStr">
        <x:is>
          <x:t xml:space="preserve">Classroom Technology Database</x:t>
        </x:is>
      </x:c>
      <x:c r="G11" s="7" t="inlineStr">
        <x:is>
          <x:t xml:space="preserve">https://classrooms.sfsu.edu/rooms</x:t>
        </x:is>
      </x:c>
      <x:c r="H11" s="7" t="inlineStr">
        <x:is>
          <x:t xml:space="preserve"/>
        </x:is>
      </x:c>
    </x:row>
    <x:row r="12" ht="30" customHeight="1">
      <x:c r="A12" s="5" t="inlineStr">
        <x:is>
          <x:t xml:space="preserve">SEIC 210</x:t>
        </x:is>
      </x:c>
      <x:c r="B12" s="6">
        <x:f>IFERROR(VALUE(LEFT(SUBSTITUTE($A12,"SEIC ",""),1)),"")</x:f>
        <x:v>2</x:v>
      </x:c>
      <x:c r="C12" s="5" t="inlineStr">
        <x:is>
          <x:t xml:space="preserve">Classroom</x:t>
        </x:is>
      </x:c>
      <x:c r="D12" s="5" t="inlineStr">
        <x:is>
          <x:t xml:space="preserve">Classroom</x:t>
        </x:is>
      </x:c>
      <x:c r="E12" s="5" t="inlineStr">
        <x:is>
          <x:t xml:space="preserve">LCD Projector, HDMI, Zoom Enabled</x:t>
        </x:is>
      </x:c>
      <x:c r="F12" s="7" t="inlineStr">
        <x:is>
          <x:t xml:space="preserve">Classroom Technology Database</x:t>
        </x:is>
      </x:c>
      <x:c r="G12" s="7" t="inlineStr">
        <x:is>
          <x:t xml:space="preserve">https://classrooms.sfsu.edu/rooms</x:t>
        </x:is>
      </x:c>
      <x:c r="H12" s="7" t="inlineStr">
        <x:is>
          <x:t xml:space="preserve"/>
        </x:is>
      </x:c>
    </x:row>
    <x:row r="13" ht="30" customHeight="1">
      <x:c r="A13" s="5" t="inlineStr">
        <x:is>
          <x:t xml:space="preserve">SEIC 212</x:t>
        </x:is>
      </x:c>
      <x:c r="B13" s="6">
        <x:f>IFERROR(VALUE(LEFT(SUBSTITUTE($A13,"SEIC ",""),1)),"")</x:f>
        <x:v>2</x:v>
      </x:c>
      <x:c r="C13" s="5" t="inlineStr">
        <x:is>
          <x:t xml:space="preserve">Classroom</x:t>
        </x:is>
      </x:c>
      <x:c r="D13" s="5" t="inlineStr">
        <x:is>
          <x:t xml:space="preserve">Classroom</x:t>
        </x:is>
      </x:c>
      <x:c r="E13" s="5" t="inlineStr">
        <x:is>
          <x:t xml:space="preserve">LCD Projector, HDMI, Doc Cam</x:t>
        </x:is>
      </x:c>
      <x:c r="F13" s="7" t="inlineStr">
        <x:is>
          <x:t xml:space="preserve">Classroom Technology Database</x:t>
        </x:is>
      </x:c>
      <x:c r="G13" s="7" t="inlineStr">
        <x:is>
          <x:t xml:space="preserve">https://classrooms.sfsu.edu/rooms</x:t>
        </x:is>
      </x:c>
      <x:c r="H13" s="7" t="inlineStr">
        <x:is>
          <x:t xml:space="preserve"/>
        </x:is>
      </x:c>
    </x:row>
    <x:row r="14" ht="30" customHeight="1">
      <x:c r="A14" s="5" t="inlineStr">
        <x:is>
          <x:t xml:space="preserve">SEIC 214</x:t>
        </x:is>
      </x:c>
      <x:c r="B14" s="6">
        <x:f>IFERROR(VALUE(LEFT(SUBSTITUTE($A14,"SEIC ",""),1)),"")</x:f>
        <x:v>2</x:v>
      </x:c>
      <x:c r="C14" s="5" t="inlineStr">
        <x:is>
          <x:t xml:space="preserve">Classroom</x:t>
        </x:is>
      </x:c>
      <x:c r="D14" s="5" t="inlineStr">
        <x:is>
          <x:t xml:space="preserve">Classroom</x:t>
        </x:is>
      </x:c>
      <x:c r="E14" s="5" t="inlineStr">
        <x:is>
          <x:t xml:space="preserve">LCD Projector, HDMI, Doc Cam</x:t>
        </x:is>
      </x:c>
      <x:c r="F14" s="7" t="inlineStr">
        <x:is>
          <x:t xml:space="preserve">Classroom Technology Database</x:t>
        </x:is>
      </x:c>
      <x:c r="G14" s="7" t="inlineStr">
        <x:is>
          <x:t xml:space="preserve">https://classrooms.sfsu.edu/rooms</x:t>
        </x:is>
      </x:c>
      <x:c r="H14" s="7" t="inlineStr">
        <x:is>
          <x:t xml:space="preserve"/>
        </x:is>
      </x:c>
    </x:row>
    <x:row r="15" ht="30" customHeight="1">
      <x:c r="A15" s="5" t="inlineStr">
        <x:is>
          <x:t xml:space="preserve">SEIC 215</x:t>
        </x:is>
      </x:c>
      <x:c r="B15" s="6">
        <x:f>IFERROR(VALUE(LEFT(SUBSTITUTE($A15,"SEIC ",""),1)),"")</x:f>
        <x:v>2</x:v>
      </x:c>
      <x:c r="C15" s="5" t="inlineStr">
        <x:is>
          <x:t xml:space="preserve">Classroom</x:t>
        </x:is>
      </x:c>
      <x:c r="D15" s="5" t="inlineStr">
        <x:is>
          <x:t xml:space="preserve">Classroom</x:t>
        </x:is>
      </x:c>
      <x:c r="E15" s="5" t="inlineStr">
        <x:is>
          <x:t xml:space="preserve">LCD Projector, HDMI, Mic, Doc Cam</x:t>
        </x:is>
      </x:c>
      <x:c r="F15" s="7" t="inlineStr">
        <x:is>
          <x:t xml:space="preserve">Classroom Technology Database</x:t>
        </x:is>
      </x:c>
      <x:c r="G15" s="7" t="inlineStr">
        <x:is>
          <x:t xml:space="preserve">https://classrooms.sfsu.edu/rooms</x:t>
        </x:is>
      </x:c>
      <x:c r="H15" s="7" t="inlineStr">
        <x:is>
          <x:t xml:space="preserve"/>
        </x:is>
      </x:c>
    </x:row>
    <x:row r="16" ht="30" customHeight="1">
      <x:c r="A16" s="5" t="inlineStr">
        <x:is>
          <x:t xml:space="preserve">SEIC 225</x:t>
        </x:is>
      </x:c>
      <x:c r="B16" s="6">
        <x:f>IFERROR(VALUE(LEFT(SUBSTITUTE($A16,"SEIC ",""),1)),"")</x:f>
        <x:v>2</x:v>
      </x:c>
      <x:c r="C16" s="5" t="inlineStr">
        <x:is>
          <x:t xml:space="preserve">Classroom</x:t>
        </x:is>
      </x:c>
      <x:c r="D16" s="5" t="inlineStr">
        <x:is>
          <x:t xml:space="preserve">Classroom</x:t>
        </x:is>
      </x:c>
      <x:c r="E16" s="5" t="inlineStr">
        <x:is>
          <x:t xml:space="preserve">LCD TV, HDMI</x:t>
        </x:is>
      </x:c>
      <x:c r="F16" s="7" t="inlineStr">
        <x:is>
          <x:t xml:space="preserve">Classroom Technology Database</x:t>
        </x:is>
      </x:c>
      <x:c r="G16" s="7" t="inlineStr">
        <x:is>
          <x:t xml:space="preserve">https://classrooms.sfsu.edu/rooms</x:t>
        </x:is>
      </x:c>
      <x:c r="H16" s="7" t="inlineStr">
        <x:is>
          <x:t xml:space="preserve"/>
        </x:is>
      </x:c>
    </x:row>
    <x:row r="17" ht="30" customHeight="1">
      <x:c r="A17" s="5" t="inlineStr">
        <x:is>
          <x:t xml:space="preserve">SEIC 306</x:t>
        </x:is>
      </x:c>
      <x:c r="B17" s="6">
        <x:f>IFERROR(VALUE(LEFT(SUBSTITUTE($A17,"SEIC ",""),1)),"")</x:f>
        <x:v>3</x:v>
      </x:c>
      <x:c r="C17" s="5" t="inlineStr">
        <x:is>
          <x:t xml:space="preserve">Classroom</x:t>
        </x:is>
      </x:c>
      <x:c r="D17" s="5" t="inlineStr">
        <x:is>
          <x:t xml:space="preserve">Classroom</x:t>
        </x:is>
      </x:c>
      <x:c r="E17" s="5" t="inlineStr">
        <x:is>
          <x:t xml:space="preserve">LCD Projector, HDMI</x:t>
        </x:is>
      </x:c>
      <x:c r="F17" s="7" t="inlineStr">
        <x:is>
          <x:t xml:space="preserve">Classroom Technology Database</x:t>
        </x:is>
      </x:c>
      <x:c r="G17" s="7" t="inlineStr">
        <x:is>
          <x:t xml:space="preserve">https://classrooms.sfsu.edu/rooms</x:t>
        </x:is>
      </x:c>
      <x:c r="H17" s="7" t="inlineStr">
        <x:is>
          <x:t xml:space="preserve"/>
        </x:is>
      </x:c>
    </x:row>
    <x:row r="18" ht="30" customHeight="1">
      <x:c r="A18" s="5" t="inlineStr">
        <x:is>
          <x:t xml:space="preserve">SEIC 310</x:t>
        </x:is>
      </x:c>
      <x:c r="B18" s="6">
        <x:f>IFERROR(VALUE(LEFT(SUBSTITUTE($A18,"SEIC ",""),1)),"")</x:f>
        <x:v>3</x:v>
      </x:c>
      <x:c r="C18" s="5" t="inlineStr">
        <x:is>
          <x:t xml:space="preserve">Classroom</x:t>
        </x:is>
      </x:c>
      <x:c r="D18" s="5" t="inlineStr">
        <x:is>
          <x:t xml:space="preserve">Classroom</x:t>
        </x:is>
      </x:c>
      <x:c r="E18" s="5" t="inlineStr">
        <x:is>
          <x:t xml:space="preserve">LCD TV, HDMI</x:t>
        </x:is>
      </x:c>
      <x:c r="F18" s="7" t="inlineStr">
        <x:is>
          <x:t xml:space="preserve">Classroom Technology Database</x:t>
        </x:is>
      </x:c>
      <x:c r="G18" s="7" t="inlineStr">
        <x:is>
          <x:t xml:space="preserve">https://classrooms.sfsu.edu/rooms</x:t>
        </x:is>
      </x:c>
      <x:c r="H18" s="7" t="inlineStr">
        <x:is>
          <x:t xml:space="preserve"/>
        </x:is>
      </x:c>
    </x:row>
    <x:row r="19" ht="30" customHeight="1">
      <x:c r="A19" s="5" t="inlineStr">
        <x:is>
          <x:t xml:space="preserve">SEIC 312</x:t>
        </x:is>
      </x:c>
      <x:c r="B19" s="6">
        <x:f>IFERROR(VALUE(LEFT(SUBSTITUTE($A19,"SEIC ",""),1)),"")</x:f>
        <x:v>3</x:v>
      </x:c>
      <x:c r="C19" s="5" t="inlineStr">
        <x:is>
          <x:t xml:space="preserve">Classroom</x:t>
        </x:is>
      </x:c>
      <x:c r="D19" s="5" t="inlineStr">
        <x:is>
          <x:t xml:space="preserve">Classroom</x:t>
        </x:is>
      </x:c>
      <x:c r="E19" s="5" t="inlineStr">
        <x:is>
          <x:t xml:space="preserve">LCD TV, HDMI</x:t>
        </x:is>
      </x:c>
      <x:c r="F19" s="7" t="inlineStr">
        <x:is>
          <x:t xml:space="preserve">Classroom Technology Database</x:t>
        </x:is>
      </x:c>
      <x:c r="G19" s="7" t="inlineStr">
        <x:is>
          <x:t xml:space="preserve">https://classrooms.sfsu.edu/rooms</x:t>
        </x:is>
      </x:c>
      <x:c r="H19" s="7" t="inlineStr">
        <x:is>
          <x:t xml:space="preserve"/>
        </x:is>
      </x:c>
    </x:row>
    <x:row r="20" ht="30" customHeight="1">
      <x:c r="A20" s="5" t="inlineStr">
        <x:is>
          <x:t xml:space="preserve">SEIC 313</x:t>
        </x:is>
      </x:c>
      <x:c r="B20" s="6">
        <x:f>IFERROR(VALUE(LEFT(SUBSTITUTE($A20,"SEIC ",""),1)),"")</x:f>
        <x:v>3</x:v>
      </x:c>
      <x:c r="C20" s="5" t="inlineStr">
        <x:is>
          <x:t xml:space="preserve">Lab</x:t>
        </x:is>
      </x:c>
      <x:c r="D20" s="5" t="inlineStr">
        <x:is>
          <x:t xml:space="preserve">Lab</x:t>
        </x:is>
      </x:c>
      <x:c r="E20" s="5" t="inlineStr">
        <x:is>
          <x:t xml:space="preserve">LCD Projector, HDMI</x:t>
        </x:is>
      </x:c>
      <x:c r="F20" s="7" t="inlineStr">
        <x:is>
          <x:t xml:space="preserve">Classroom Technology Database</x:t>
        </x:is>
      </x:c>
      <x:c r="G20" s="7" t="inlineStr">
        <x:is>
          <x:t xml:space="preserve">https://classrooms.sfsu.edu/rooms</x:t>
        </x:is>
      </x:c>
      <x:c r="H20" s="7" t="inlineStr">
        <x:is>
          <x:t xml:space="preserve"/>
        </x:is>
      </x:c>
    </x:row>
    <x:row r="21" ht="30" customHeight="1">
      <x:c r="A21" s="5" t="inlineStr">
        <x:is>
          <x:t xml:space="preserve">SEIC 314</x:t>
        </x:is>
      </x:c>
      <x:c r="B21" s="6">
        <x:f>IFERROR(VALUE(LEFT(SUBSTITUTE($A21,"SEIC ",""),1)),"")</x:f>
        <x:v>3</x:v>
      </x:c>
      <x:c r="C21" s="5" t="inlineStr">
        <x:is>
          <x:t xml:space="preserve">Lab</x:t>
        </x:is>
      </x:c>
      <x:c r="D21" s="5" t="inlineStr">
        <x:is>
          <x:t xml:space="preserve">Lab</x:t>
        </x:is>
      </x:c>
      <x:c r="E21" s="5" t="inlineStr">
        <x:is>
          <x:t xml:space="preserve">LCD Projector, HDMI</x:t>
        </x:is>
      </x:c>
      <x:c r="F21" s="7" t="inlineStr">
        <x:is>
          <x:t xml:space="preserve">Classroom Technology Database</x:t>
        </x:is>
      </x:c>
      <x:c r="G21" s="7" t="inlineStr">
        <x:is>
          <x:t xml:space="preserve">https://classrooms.sfsu.edu/rooms</x:t>
        </x:is>
      </x:c>
      <x:c r="H21" s="7" t="inlineStr">
        <x:is>
          <x:t xml:space="preserve"/>
        </x:is>
      </x:c>
    </x:row>
    <x:row r="22" ht="30" customHeight="1">
      <x:c r="A22" s="5" t="inlineStr">
        <x:is>
          <x:t xml:space="preserve">SEIC 315</x:t>
        </x:is>
      </x:c>
      <x:c r="B22" s="6">
        <x:f>IFERROR(VALUE(LEFT(SUBSTITUTE($A22,"SEIC ",""),1)),"")</x:f>
        <x:v>3</x:v>
      </x:c>
      <x:c r="C22" s="5" t="inlineStr">
        <x:is>
          <x:t xml:space="preserve">Lab</x:t>
        </x:is>
      </x:c>
      <x:c r="D22" s="5" t="inlineStr">
        <x:is>
          <x:t xml:space="preserve">Lab</x:t>
        </x:is>
      </x:c>
      <x:c r="E22" s="5" t="inlineStr">
        <x:is>
          <x:t xml:space="preserve">LCD Projector, HDMI</x:t>
        </x:is>
      </x:c>
      <x:c r="F22" s="7" t="inlineStr">
        <x:is>
          <x:t xml:space="preserve">Classroom Technology Database</x:t>
        </x:is>
      </x:c>
      <x:c r="G22" s="7" t="inlineStr">
        <x:is>
          <x:t xml:space="preserve">https://classrooms.sfsu.edu/rooms</x:t>
        </x:is>
      </x:c>
      <x:c r="H22" s="7" t="inlineStr">
        <x:is>
          <x:t xml:space="preserve"/>
        </x:is>
      </x:c>
    </x:row>
    <x:row r="23" ht="30" customHeight="1">
      <x:c r="A23" s="5" t="inlineStr">
        <x:is>
          <x:t xml:space="preserve">SEIC 316</x:t>
        </x:is>
      </x:c>
      <x:c r="B23" s="6">
        <x:f>IFERROR(VALUE(LEFT(SUBSTITUTE($A23,"SEIC ",""),1)),"")</x:f>
        <x:v>3</x:v>
      </x:c>
      <x:c r="C23" s="5" t="inlineStr">
        <x:is>
          <x:t xml:space="preserve">Lab</x:t>
        </x:is>
      </x:c>
      <x:c r="D23" s="5" t="inlineStr">
        <x:is>
          <x:t xml:space="preserve">Lab</x:t>
        </x:is>
      </x:c>
      <x:c r="E23" s="5" t="inlineStr">
        <x:is>
          <x:t xml:space="preserve">LCD Projector, HDMI</x:t>
        </x:is>
      </x:c>
      <x:c r="F23" s="7" t="inlineStr">
        <x:is>
          <x:t xml:space="preserve">Classroom Technology Database</x:t>
        </x:is>
      </x:c>
      <x:c r="G23" s="7" t="inlineStr">
        <x:is>
          <x:t xml:space="preserve">https://classrooms.sfsu.edu/rooms</x:t>
        </x:is>
      </x:c>
      <x:c r="H23" s="7" t="inlineStr">
        <x:is>
          <x:t xml:space="preserve"/>
        </x:is>
      </x:c>
    </x:row>
    <x:row r="24" ht="30" customHeight="1">
      <x:c r="A24" s="5" t="inlineStr">
        <x:is>
          <x:t xml:space="preserve">SEIC 318</x:t>
        </x:is>
      </x:c>
      <x:c r="B24" s="6">
        <x:f>IFERROR(VALUE(LEFT(SUBSTITUTE($A24,"SEIC ",""),1)),"")</x:f>
        <x:v>3</x:v>
      </x:c>
      <x:c r="C24" s="5" t="inlineStr">
        <x:is>
          <x:t xml:space="preserve">Lab</x:t>
        </x:is>
      </x:c>
      <x:c r="D24" s="5" t="inlineStr">
        <x:is>
          <x:t xml:space="preserve">Lab</x:t>
        </x:is>
      </x:c>
      <x:c r="E24" s="5" t="inlineStr">
        <x:is>
          <x:t xml:space="preserve">LCD Projector, HDMI</x:t>
        </x:is>
      </x:c>
      <x:c r="F24" s="7" t="inlineStr">
        <x:is>
          <x:t xml:space="preserve">Classroom Technology Database</x:t>
        </x:is>
      </x:c>
      <x:c r="G24" s="7" t="inlineStr">
        <x:is>
          <x:t xml:space="preserve">https://classrooms.sfsu.edu/rooms</x:t>
        </x:is>
      </x:c>
      <x:c r="H24" s="7" t="inlineStr">
        <x:is>
          <x:t xml:space="preserve"/>
        </x:is>
      </x:c>
    </x:row>
    <x:row r="25" ht="30" customHeight="1">
      <x:c r="A25" s="5" t="inlineStr">
        <x:is>
          <x:t xml:space="preserve">SEIC 320</x:t>
        </x:is>
      </x:c>
      <x:c r="B25" s="6">
        <x:f>IFERROR(VALUE(LEFT(SUBSTITUTE($A25,"SEIC ",""),1)),"")</x:f>
        <x:v>3</x:v>
      </x:c>
      <x:c r="C25" s="5" t="inlineStr">
        <x:is>
          <x:t xml:space="preserve">Lab</x:t>
        </x:is>
      </x:c>
      <x:c r="D25" s="5" t="inlineStr">
        <x:is>
          <x:t xml:space="preserve">Lab</x:t>
        </x:is>
      </x:c>
      <x:c r="E25" s="5" t="inlineStr">
        <x:is>
          <x:t xml:space="preserve"/>
        </x:is>
      </x:c>
      <x:c r="F25" s="7" t="inlineStr">
        <x:is>
          <x:t xml:space="preserve">Classroom Technology Database</x:t>
        </x:is>
      </x:c>
      <x:c r="G25" s="7" t="inlineStr">
        <x:is>
          <x:t xml:space="preserve">https://classrooms.sfsu.edu/rooms</x:t>
        </x:is>
      </x:c>
      <x:c r="H25" s="7" t="inlineStr">
        <x:is>
          <x:t xml:space="preserve"/>
        </x:is>
      </x:c>
    </x:row>
    <x:row r="26" ht="30" customHeight="1">
      <x:c r="A26" s="5" t="inlineStr">
        <x:is>
          <x:t xml:space="preserve">SEIC 327</x:t>
        </x:is>
      </x:c>
      <x:c r="B26" s="6">
        <x:f>IFERROR(VALUE(LEFT(SUBSTITUTE($A26,"SEIC ",""),1)),"")</x:f>
        <x:v>3</x:v>
      </x:c>
      <x:c r="C26" s="5" t="inlineStr">
        <x:is>
          <x:t xml:space="preserve">Conference Room</x:t>
        </x:is>
      </x:c>
      <x:c r="D26" s="5" t="inlineStr">
        <x:is>
          <x:t xml:space="preserve">Conference Room</x:t>
        </x:is>
      </x:c>
      <x:c r="E26" s="5" t="inlineStr">
        <x:is>
          <x:t xml:space="preserve">LCD TV, HDMI</x:t>
        </x:is>
      </x:c>
      <x:c r="F26" s="7" t="inlineStr">
        <x:is>
          <x:t xml:space="preserve">Classroom Technology Database</x:t>
        </x:is>
      </x:c>
      <x:c r="G26" s="7" t="inlineStr">
        <x:is>
          <x:t xml:space="preserve">https://classrooms.sfsu.edu/rooms</x:t>
        </x:is>
      </x:c>
      <x:c r="H26" s="7" t="inlineStr">
        <x:is>
          <x:t xml:space="preserve">Public lecturer page also lists shared offices in SEIC 327.</x:t>
        </x:is>
      </x:c>
    </x:row>
    <x:row r="27" ht="30" customHeight="1">
      <x:c r="A27" s="5" t="inlineStr">
        <x:is>
          <x:t xml:space="preserve">SEIC 400</x:t>
        </x:is>
      </x:c>
      <x:c r="B27" s="6">
        <x:f>IFERROR(VALUE(LEFT(SUBSTITUTE($A27,"SEIC ",""),1)),"")</x:f>
        <x:v>4</x:v>
      </x:c>
      <x:c r="C27" s="5" t="inlineStr">
        <x:is>
          <x:t xml:space="preserve">Classroom</x:t>
        </x:is>
      </x:c>
      <x:c r="D27" s="5" t="inlineStr">
        <x:is>
          <x:t xml:space="preserve">Classroom</x:t>
        </x:is>
      </x:c>
      <x:c r="E27" s="5" t="inlineStr">
        <x:is>
          <x:t xml:space="preserve">LCD Projector, HDMI</x:t>
        </x:is>
      </x:c>
      <x:c r="F27" s="7" t="inlineStr">
        <x:is>
          <x:t xml:space="preserve">Classroom Technology Database</x:t>
        </x:is>
      </x:c>
      <x:c r="G27" s="7" t="inlineStr">
        <x:is>
          <x:t xml:space="preserve">https://classrooms.sfsu.edu/rooms</x:t>
        </x:is>
      </x:c>
      <x:c r="H27" s="7" t="inlineStr">
        <x:is>
          <x:t xml:space="preserve"/>
        </x:is>
      </x:c>
    </x:row>
    <x:row r="28" ht="30" customHeight="1">
      <x:c r="A28" s="5" t="inlineStr">
        <x:is>
          <x:t xml:space="preserve">SEIC 401</x:t>
        </x:is>
      </x:c>
      <x:c r="B28" s="6">
        <x:f>IFERROR(VALUE(LEFT(SUBSTITUTE($A28,"SEIC ",""),1)),"")</x:f>
        <x:v>4</x:v>
      </x:c>
      <x:c r="C28" s="5" t="inlineStr">
        <x:is>
          <x:t xml:space="preserve">Classroom</x:t>
        </x:is>
      </x:c>
      <x:c r="D28" s="5" t="inlineStr">
        <x:is>
          <x:t xml:space="preserve">Classroom</x:t>
        </x:is>
      </x:c>
      <x:c r="E28" s="5" t="inlineStr">
        <x:is>
          <x:t xml:space="preserve">LCD Projector, HDMI</x:t>
        </x:is>
      </x:c>
      <x:c r="F28" s="7" t="inlineStr">
        <x:is>
          <x:t xml:space="preserve">Classroom Technology Database</x:t>
        </x:is>
      </x:c>
      <x:c r="G28" s="7" t="inlineStr">
        <x:is>
          <x:t xml:space="preserve">https://classrooms.sfsu.edu/rooms</x:t>
        </x:is>
      </x:c>
      <x:c r="H28" s="7" t="inlineStr">
        <x:is>
          <x:t xml:space="preserve"/>
        </x:is>
      </x:c>
    </x:row>
    <x:row r="29" ht="30" customHeight="1">
      <x:c r="A29" s="5" t="inlineStr">
        <x:is>
          <x:t xml:space="preserve">SEIC 402</x:t>
        </x:is>
      </x:c>
      <x:c r="B29" s="6">
        <x:f>IFERROR(VALUE(LEFT(SUBSTITUTE($A29,"SEIC ",""),1)),"")</x:f>
        <x:v>4</x:v>
      </x:c>
      <x:c r="C29" s="5" t="inlineStr">
        <x:is>
          <x:t xml:space="preserve">Classroom</x:t>
        </x:is>
      </x:c>
      <x:c r="D29" s="5" t="inlineStr">
        <x:is>
          <x:t xml:space="preserve">Classroom</x:t>
        </x:is>
      </x:c>
      <x:c r="E29" s="5" t="inlineStr">
        <x:is>
          <x:t xml:space="preserve">LCD Projector, LCD TV, HDMI, Zoom Enabled</x:t>
        </x:is>
      </x:c>
      <x:c r="F29" s="7" t="inlineStr">
        <x:is>
          <x:t xml:space="preserve">Classroom Technology Database</x:t>
        </x:is>
      </x:c>
      <x:c r="G29" s="7" t="inlineStr">
        <x:is>
          <x:t xml:space="preserve">https://classrooms.sfsu.edu/rooms</x:t>
        </x:is>
      </x:c>
      <x:c r="H29" s="7" t="inlineStr">
        <x:is>
          <x:t xml:space="preserve"/>
        </x:is>
      </x:c>
    </x:row>
    <x:row r="30" ht="30" customHeight="1">
      <x:c r="A30" s="5" t="inlineStr">
        <x:is>
          <x:t xml:space="preserve">SEIC 403</x:t>
        </x:is>
      </x:c>
      <x:c r="B30" s="6">
        <x:f>IFERROR(VALUE(LEFT(SUBSTITUTE($A30,"SEIC ",""),1)),"")</x:f>
        <x:v>4</x:v>
      </x:c>
      <x:c r="C30" s="5" t="inlineStr">
        <x:is>
          <x:t xml:space="preserve">Classroom</x:t>
        </x:is>
      </x:c>
      <x:c r="D30" s="5" t="inlineStr">
        <x:is>
          <x:t xml:space="preserve">Classroom</x:t>
        </x:is>
      </x:c>
      <x:c r="E30" s="5" t="inlineStr">
        <x:is>
          <x:t xml:space="preserve">LCD Projector, HDMI</x:t>
        </x:is>
      </x:c>
      <x:c r="F30" s="7" t="inlineStr">
        <x:is>
          <x:t xml:space="preserve">Classroom Technology Database</x:t>
        </x:is>
      </x:c>
      <x:c r="G30" s="7" t="inlineStr">
        <x:is>
          <x:t xml:space="preserve">https://classrooms.sfsu.edu/rooms</x:t>
        </x:is>
      </x:c>
      <x:c r="H30" s="7" t="inlineStr">
        <x:is>
          <x:t xml:space="preserve"/>
        </x:is>
      </x:c>
    </x:row>
    <x:row r="31" ht="30" customHeight="1">
      <x:c r="A31" s="5" t="inlineStr">
        <x:is>
          <x:t xml:space="preserve">SEIC 404</x:t>
        </x:is>
      </x:c>
      <x:c r="B31" s="6">
        <x:f>IFERROR(VALUE(LEFT(SUBSTITUTE($A31,"SEIC ",""),1)),"")</x:f>
        <x:v>4</x:v>
      </x:c>
      <x:c r="C31" s="5" t="inlineStr">
        <x:is>
          <x:t xml:space="preserve">Lab</x:t>
        </x:is>
      </x:c>
      <x:c r="D31" s="5" t="inlineStr">
        <x:is>
          <x:t xml:space="preserve">Lab</x:t>
        </x:is>
      </x:c>
      <x:c r="E31" s="5" t="inlineStr">
        <x:is>
          <x:t xml:space="preserve">LCD Projector, HDMI</x:t>
        </x:is>
      </x:c>
      <x:c r="F31" s="7" t="inlineStr">
        <x:is>
          <x:t xml:space="preserve">Classroom Technology Database</x:t>
        </x:is>
      </x:c>
      <x:c r="G31" s="7" t="inlineStr">
        <x:is>
          <x:t xml:space="preserve">https://classrooms.sfsu.edu/rooms</x:t>
        </x:is>
      </x:c>
      <x:c r="H31" s="7" t="inlineStr">
        <x:is>
          <x:t xml:space="preserve"/>
        </x:is>
      </x:c>
    </x:row>
    <x:row r="32" ht="30" customHeight="1">
      <x:c r="A32" s="5" t="inlineStr">
        <x:is>
          <x:t xml:space="preserve">SEIC 409</x:t>
        </x:is>
      </x:c>
      <x:c r="B32" s="6">
        <x:f>IFERROR(VALUE(LEFT(SUBSTITUTE($A32,"SEIC ",""),1)),"")</x:f>
        <x:v>4</x:v>
      </x:c>
      <x:c r="C32" s="5" t="inlineStr">
        <x:is>
          <x:t xml:space="preserve">Study Room</x:t>
        </x:is>
      </x:c>
      <x:c r="D32" s="5" t="inlineStr">
        <x:is>
          <x:t xml:space="preserve">Study Room</x:t>
        </x:is>
      </x:c>
      <x:c r="E32" s="5" t="inlineStr">
        <x:is>
          <x:t xml:space="preserve">LCD TV, HDMI</x:t>
        </x:is>
      </x:c>
      <x:c r="F32" s="7" t="inlineStr">
        <x:is>
          <x:t xml:space="preserve">Classroom Technology Database</x:t>
        </x:is>
      </x:c>
      <x:c r="G32" s="7" t="inlineStr">
        <x:is>
          <x:t xml:space="preserve">https://classrooms.sfsu.edu/rooms</x:t>
        </x:is>
      </x:c>
      <x:c r="H32" s="7" t="inlineStr">
        <x:is>
          <x:t xml:space="preserve"/>
        </x:is>
      </x:c>
    </x:row>
    <x:row r="33" ht="30" customHeight="1">
      <x:c r="A33" s="5" t="inlineStr">
        <x:is>
          <x:t xml:space="preserve">SEIC 410</x:t>
        </x:is>
      </x:c>
      <x:c r="B33" s="6">
        <x:f>IFERROR(VALUE(LEFT(SUBSTITUTE($A33,"SEIC ",""),1)),"")</x:f>
        <x:v>4</x:v>
      </x:c>
      <x:c r="C33" s="5" t="inlineStr">
        <x:is>
          <x:t xml:space="preserve">Study Room</x:t>
        </x:is>
      </x:c>
      <x:c r="D33" s="5" t="inlineStr">
        <x:is>
          <x:t xml:space="preserve">Study Room</x:t>
        </x:is>
      </x:c>
      <x:c r="E33" s="5" t="inlineStr">
        <x:is>
          <x:t xml:space="preserve">LCD TV, HDMI</x:t>
        </x:is>
      </x:c>
      <x:c r="F33" s="7" t="inlineStr">
        <x:is>
          <x:t xml:space="preserve">Classroom Technology Database</x:t>
        </x:is>
      </x:c>
      <x:c r="G33" s="7" t="inlineStr">
        <x:is>
          <x:t xml:space="preserve">https://classrooms.sfsu.edu/rooms</x:t>
        </x:is>
      </x:c>
      <x:c r="H33" s="7" t="inlineStr">
        <x:is>
          <x:t xml:space="preserve"/>
        </x:is>
      </x:c>
    </x:row>
    <x:row r="34" ht="30" customHeight="1">
      <x:c r="A34" s="5" t="inlineStr">
        <x:is>
          <x:t xml:space="preserve">SEIC 411</x:t>
        </x:is>
      </x:c>
      <x:c r="B34" s="6">
        <x:f>IFERROR(VALUE(LEFT(SUBSTITUTE($A34,"SEIC ",""),1)),"")</x:f>
        <x:v>4</x:v>
      </x:c>
      <x:c r="C34" s="5" t="inlineStr">
        <x:is>
          <x:t xml:space="preserve">Conference Room</x:t>
        </x:is>
      </x:c>
      <x:c r="D34" s="5" t="inlineStr">
        <x:is>
          <x:t xml:space="preserve">Conference Room</x:t>
        </x:is>
      </x:c>
      <x:c r="E34" s="5" t="inlineStr">
        <x:is>
          <x:t xml:space="preserve">LCD Projector, HDMI, Zoom Enabled</x:t>
        </x:is>
      </x:c>
      <x:c r="F34" s="7" t="inlineStr">
        <x:is>
          <x:t xml:space="preserve">Classroom Technology Database</x:t>
        </x:is>
      </x:c>
      <x:c r="G34" s="7" t="inlineStr">
        <x:is>
          <x:t xml:space="preserve">https://classrooms.sfsu.edu/rooms</x:t>
        </x:is>
      </x:c>
      <x:c r="H34" s="7" t="inlineStr">
        <x:is>
          <x:t xml:space="preserve"/>
        </x:is>
      </x:c>
    </x:row>
    <x:row r="35" ht="30" customHeight="1">
      <x:c r="A35" s="5" t="inlineStr">
        <x:is>
          <x:t xml:space="preserve">SEIC 412</x:t>
        </x:is>
      </x:c>
      <x:c r="B35" s="6">
        <x:f>IFERROR(VALUE(LEFT(SUBSTITUTE($A35,"SEIC ",""),1)),"")</x:f>
        <x:v>4</x:v>
      </x:c>
      <x:c r="C35" s="5" t="inlineStr">
        <x:is>
          <x:t xml:space="preserve">Classroom</x:t>
        </x:is>
      </x:c>
      <x:c r="D35" s="5" t="inlineStr">
        <x:is>
          <x:t xml:space="preserve">Classroom</x:t>
        </x:is>
      </x:c>
      <x:c r="E35" s="5" t="inlineStr">
        <x:is>
          <x:t xml:space="preserve">LCD Projector, HDMI</x:t>
        </x:is>
      </x:c>
      <x:c r="F35" s="7" t="inlineStr">
        <x:is>
          <x:t xml:space="preserve">Classroom Technology Database</x:t>
        </x:is>
      </x:c>
      <x:c r="G35" s="7" t="inlineStr">
        <x:is>
          <x:t xml:space="preserve">https://classrooms.sfsu.edu/rooms</x:t>
        </x:is>
      </x:c>
      <x:c r="H35" s="7" t="inlineStr">
        <x:is>
          <x:t xml:space="preserve"/>
        </x:is>
      </x:c>
    </x:row>
    <x:row r="36" ht="30" customHeight="1">
      <x:c r="A36" s="5" t="inlineStr">
        <x:is>
          <x:t xml:space="preserve">SEIC 414</x:t>
        </x:is>
      </x:c>
      <x:c r="B36" s="6">
        <x:f>IFERROR(VALUE(LEFT(SUBSTITUTE($A36,"SEIC ",""),1)),"")</x:f>
        <x:v>4</x:v>
      </x:c>
      <x:c r="C36" s="5" t="inlineStr">
        <x:is>
          <x:t xml:space="preserve">Classroom</x:t>
        </x:is>
      </x:c>
      <x:c r="D36" s="5" t="inlineStr">
        <x:is>
          <x:t xml:space="preserve">Classroom</x:t>
        </x:is>
      </x:c>
      <x:c r="E36" s="5" t="inlineStr">
        <x:is>
          <x:t xml:space="preserve">LCD Projector, HDMI</x:t>
        </x:is>
      </x:c>
      <x:c r="F36" s="7" t="inlineStr">
        <x:is>
          <x:t xml:space="preserve">Classroom Technology Database</x:t>
        </x:is>
      </x:c>
      <x:c r="G36" s="7" t="inlineStr">
        <x:is>
          <x:t xml:space="preserve">https://classrooms.sfsu.edu/rooms</x:t>
        </x:is>
      </x:c>
      <x:c r="H36" s="7" t="inlineStr">
        <x:is>
          <x:t xml:space="preserve"/>
        </x:is>
      </x:c>
    </x:row>
    <x:row r="37" ht="30" customHeight="1">
      <x:c r="A37" s="5" t="inlineStr">
        <x:is>
          <x:t xml:space="preserve">SEIC 416</x:t>
        </x:is>
      </x:c>
      <x:c r="B37" s="6">
        <x:f>IFERROR(VALUE(LEFT(SUBSTITUTE($A37,"SEIC ",""),1)),"")</x:f>
        <x:v>4</x:v>
      </x:c>
      <x:c r="C37" s="5" t="inlineStr">
        <x:is>
          <x:t xml:space="preserve">Classroom</x:t>
        </x:is>
      </x:c>
      <x:c r="D37" s="5" t="inlineStr">
        <x:is>
          <x:t xml:space="preserve">Classroom</x:t>
        </x:is>
      </x:c>
      <x:c r="E37" s="5" t="inlineStr">
        <x:is>
          <x:t xml:space="preserve">LCD Projector, HDMI</x:t>
        </x:is>
      </x:c>
      <x:c r="F37" s="7" t="inlineStr">
        <x:is>
          <x:t xml:space="preserve">Classroom Technology Database</x:t>
        </x:is>
      </x:c>
      <x:c r="G37" s="7" t="inlineStr">
        <x:is>
          <x:t xml:space="preserve">https://classrooms.sfsu.edu/rooms</x:t>
        </x:is>
      </x:c>
      <x:c r="H37" s="7" t="inlineStr">
        <x:is>
          <x:t xml:space="preserve"/>
        </x:is>
      </x:c>
    </x:row>
    <x:row r="38" ht="30" customHeight="1">
      <x:c r="A38" s="5" t="inlineStr">
        <x:is>
          <x:t xml:space="preserve">SEIC 417</x:t>
        </x:is>
      </x:c>
      <x:c r="B38" s="6">
        <x:f>IFERROR(VALUE(LEFT(SUBSTITUTE($A38,"SEIC ",""),1)),"")</x:f>
        <x:v>4</x:v>
      </x:c>
      <x:c r="C38" s="5" t="inlineStr">
        <x:is>
          <x:t xml:space="preserve">Classroom</x:t>
        </x:is>
      </x:c>
      <x:c r="D38" s="5" t="inlineStr">
        <x:is>
          <x:t xml:space="preserve">Classroom</x:t>
        </x:is>
      </x:c>
      <x:c r="E38" s="5" t="inlineStr">
        <x:is>
          <x:t xml:space="preserve">LCD Projector, HDMI</x:t>
        </x:is>
      </x:c>
      <x:c r="F38" s="7" t="inlineStr">
        <x:is>
          <x:t xml:space="preserve">Classroom Technology Database</x:t>
        </x:is>
      </x:c>
      <x:c r="G38" s="7" t="inlineStr">
        <x:is>
          <x:t xml:space="preserve">https://classrooms.sfsu.edu/rooms</x:t>
        </x:is>
      </x:c>
      <x:c r="H38" s="7" t="inlineStr">
        <x:is>
          <x:t xml:space="preserve"/>
        </x:is>
      </x:c>
    </x:row>
    <x:row r="39" ht="30" customHeight="1">
      <x:c r="A39" s="5" t="inlineStr">
        <x:is>
          <x:t xml:space="preserve">SEIC 500</x:t>
        </x:is>
      </x:c>
      <x:c r="B39" s="6">
        <x:f>IFERROR(VALUE(LEFT(SUBSTITUTE($A39,"SEIC ",""),1)),"")</x:f>
        <x:v>5</x:v>
      </x:c>
      <x:c r="C39" s="5" t="inlineStr">
        <x:is>
          <x:t xml:space="preserve">Classroom</x:t>
        </x:is>
      </x:c>
      <x:c r="D39" s="5" t="inlineStr">
        <x:is>
          <x:t xml:space="preserve">Classroom</x:t>
        </x:is>
      </x:c>
      <x:c r="E39" s="5" t="inlineStr">
        <x:is>
          <x:t xml:space="preserve">LCD TV, HDMI</x:t>
        </x:is>
      </x:c>
      <x:c r="F39" s="7" t="inlineStr">
        <x:is>
          <x:t xml:space="preserve">Classroom Technology Database</x:t>
        </x:is>
      </x:c>
      <x:c r="G39" s="7" t="inlineStr">
        <x:is>
          <x:t xml:space="preserve">https://classrooms.sfsu.edu/rooms</x:t>
        </x:is>
      </x:c>
      <x:c r="H39" s="7" t="inlineStr">
        <x:is>
          <x:t xml:space="preserve"/>
        </x:is>
      </x:c>
    </x:row>
    <x:row r="40" ht="30" customHeight="1">
      <x:c r="A40" s="5" t="inlineStr">
        <x:is>
          <x:t xml:space="preserve">SEIC 501</x:t>
        </x:is>
      </x:c>
      <x:c r="B40" s="6">
        <x:f>IFERROR(VALUE(LEFT(SUBSTITUTE($A40,"SEIC ",""),1)),"")</x:f>
        <x:v>5</x:v>
      </x:c>
      <x:c r="C40" s="5" t="inlineStr">
        <x:is>
          <x:t xml:space="preserve">Classroom</x:t>
        </x:is>
      </x:c>
      <x:c r="D40" s="5" t="inlineStr">
        <x:is>
          <x:t xml:space="preserve">Classroom</x:t>
        </x:is>
      </x:c>
      <x:c r="E40" s="5" t="inlineStr">
        <x:is>
          <x:t xml:space="preserve">LCD TV, HDMI</x:t>
        </x:is>
      </x:c>
      <x:c r="F40" s="7" t="inlineStr">
        <x:is>
          <x:t xml:space="preserve">Classroom Technology Database</x:t>
        </x:is>
      </x:c>
      <x:c r="G40" s="7" t="inlineStr">
        <x:is>
          <x:t xml:space="preserve">https://classrooms.sfsu.edu/rooms</x:t>
        </x:is>
      </x:c>
      <x:c r="H40" s="7" t="inlineStr">
        <x:is>
          <x:t xml:space="preserve"/>
        </x:is>
      </x:c>
    </x:row>
    <x:row r="41" ht="30" customHeight="1">
      <x:c r="A41" s="5" t="inlineStr">
        <x:is>
          <x:t xml:space="preserve">SEIC 502A</x:t>
        </x:is>
      </x:c>
      <x:c r="B41" s="6">
        <x:f>IFERROR(VALUE(LEFT(SUBSTITUTE($A41,"SEIC ",""),1)),"")</x:f>
        <x:v>5</x:v>
      </x:c>
      <x:c r="C41" s="5" t="inlineStr">
        <x:is>
          <x:t xml:space="preserve">Conference Room</x:t>
        </x:is>
      </x:c>
      <x:c r="D41" s="5" t="inlineStr">
        <x:is>
          <x:t xml:space="preserve">Conference Room</x:t>
        </x:is>
      </x:c>
      <x:c r="E41" s="5" t="inlineStr">
        <x:is>
          <x:t xml:space="preserve">LCD TV, HDMI</x:t>
        </x:is>
      </x:c>
      <x:c r="F41" s="7" t="inlineStr">
        <x:is>
          <x:t xml:space="preserve">Classroom Technology Database</x:t>
        </x:is>
      </x:c>
      <x:c r="G41" s="7" t="inlineStr">
        <x:is>
          <x:t xml:space="preserve">https://classrooms.sfsu.edu/rooms</x:t>
        </x:is>
      </x:c>
      <x:c r="H41" s="7" t="inlineStr">
        <x:is>
          <x:t xml:space="preserve"/>
        </x:is>
      </x:c>
    </x:row>
    <x:row r="42" ht="30" customHeight="1">
      <x:c r="A42" s="5" t="inlineStr">
        <x:is>
          <x:t xml:space="preserve">SEIC 510</x:t>
        </x:is>
      </x:c>
      <x:c r="B42" s="6">
        <x:f>IFERROR(VALUE(LEFT(SUBSTITUTE($A42,"SEIC ",""),1)),"")</x:f>
        <x:v>5</x:v>
      </x:c>
      <x:c r="C42" s="5" t="inlineStr">
        <x:is>
          <x:t xml:space="preserve">Conference Room</x:t>
        </x:is>
      </x:c>
      <x:c r="D42" s="5" t="inlineStr">
        <x:is>
          <x:t xml:space="preserve">Conference Room</x:t>
        </x:is>
      </x:c>
      <x:c r="E42" s="5" t="inlineStr">
        <x:is>
          <x:t xml:space="preserve">LCD TV, HDMI</x:t>
        </x:is>
      </x:c>
      <x:c r="F42" s="7" t="inlineStr">
        <x:is>
          <x:t xml:space="preserve">Classroom Technology Database</x:t>
        </x:is>
      </x:c>
      <x:c r="G42" s="7" t="inlineStr">
        <x:is>
          <x:t xml:space="preserve">https://classrooms.sfsu.edu/rooms</x:t>
        </x:is>
      </x:c>
      <x:c r="H42" s="7" t="inlineStr">
        <x:is>
          <x:t xml:space="preserve"/>
        </x:is>
      </x:c>
    </x:row>
    <x:row r="43" ht="30" customHeight="1">
      <x:c r="A43" s="5" t="inlineStr">
        <x:is>
          <x:t xml:space="preserve">SEIC 511</x:t>
        </x:is>
      </x:c>
      <x:c r="B43" s="6">
        <x:f>IFERROR(VALUE(LEFT(SUBSTITUTE($A43,"SEIC ",""),1)),"")</x:f>
        <x:v>5</x:v>
      </x:c>
      <x:c r="C43" s="5" t="inlineStr">
        <x:is>
          <x:t xml:space="preserve">Conference Room</x:t>
        </x:is>
      </x:c>
      <x:c r="D43" s="5" t="inlineStr">
        <x:is>
          <x:t xml:space="preserve">Conference Room</x:t>
        </x:is>
      </x:c>
      <x:c r="E43" s="5" t="inlineStr">
        <x:is>
          <x:t xml:space="preserve">LCD TV, HDMI</x:t>
        </x:is>
      </x:c>
      <x:c r="F43" s="7" t="inlineStr">
        <x:is>
          <x:t xml:space="preserve">Classroom Technology Database</x:t>
        </x:is>
      </x:c>
      <x:c r="G43" s="7" t="inlineStr">
        <x:is>
          <x:t xml:space="preserve">https://classrooms.sfsu.edu/rooms</x:t>
        </x:is>
      </x:c>
      <x:c r="H43" s="7" t="inlineStr">
        <x:is>
          <x:t xml:space="preserve"/>
        </x:is>
      </x:c>
    </x:row>
    <x:row r="44" ht="30" customHeight="1">
      <x:c r="A44" s="5" t="inlineStr">
        <x:is>
          <x:t xml:space="preserve">SEIC 512A</x:t>
        </x:is>
      </x:c>
      <x:c r="B44" s="6">
        <x:f>IFERROR(VALUE(LEFT(SUBSTITUTE($A44,"SEIC ",""),1)),"")</x:f>
        <x:v>5</x:v>
      </x:c>
      <x:c r="C44" s="5" t="inlineStr">
        <x:is>
          <x:t xml:space="preserve">Meeting Room</x:t>
        </x:is>
      </x:c>
      <x:c r="D44" s="5" t="inlineStr">
        <x:is>
          <x:t xml:space="preserve">Meeting Room</x:t>
        </x:is>
      </x:c>
      <x:c r="E44" s="5" t="inlineStr">
        <x:is>
          <x:t xml:space="preserve">LCD TV, HDMI</x:t>
        </x:is>
      </x:c>
      <x:c r="F44" s="7" t="inlineStr">
        <x:is>
          <x:t xml:space="preserve">Classroom Technology Database</x:t>
        </x:is>
      </x:c>
      <x:c r="G44" s="7" t="inlineStr">
        <x:is>
          <x:t xml:space="preserve">https://classrooms.sfsu.edu/rooms</x:t>
        </x:is>
      </x:c>
      <x:c r="H44" s="7" t="inlineStr">
        <x:is>
          <x:t xml:space="preserve">Separate public CoSE contact page lists SEIC 512 (without 'A') as the college office.</x:t>
        </x:is>
      </x:c>
    </x:row>
    <x:row r="45" ht="30" customHeight="1">
      <x:c r="A45" s="5" t="inlineStr">
        <x:is>
          <x:t xml:space="preserve">SEIC 513</x:t>
        </x:is>
      </x:c>
      <x:c r="B45" s="6">
        <x:f>IFERROR(VALUE(LEFT(SUBSTITUTE($A45,"SEIC ",""),1)),"")</x:f>
        <x:v>5</x:v>
      </x:c>
      <x:c r="C45" s="5" t="inlineStr">
        <x:is>
          <x:t xml:space="preserve">Conference Room</x:t>
        </x:is>
      </x:c>
      <x:c r="D45" s="5" t="inlineStr">
        <x:is>
          <x:t xml:space="preserve">Conference Room</x:t>
        </x:is>
      </x:c>
      <x:c r="E45" s="5" t="inlineStr">
        <x:is>
          <x:t xml:space="preserve">LCD TV, HDMI</x:t>
        </x:is>
      </x:c>
      <x:c r="F45" s="7" t="inlineStr">
        <x:is>
          <x:t xml:space="preserve">Classroom Technology Database</x:t>
        </x:is>
      </x:c>
      <x:c r="G45" s="7" t="inlineStr">
        <x:is>
          <x:t xml:space="preserve">https://classrooms.sfsu.edu/rooms</x:t>
        </x:is>
      </x:c>
      <x:c r="H45" s="7" t="inlineStr">
        <x:is>
          <x:t xml:space="preserve"/>
        </x:is>
      </x:c>
    </x:row>
    <x:row r="46" ht="30" customHeight="1">
      <x:c r="A46" s="5" t="inlineStr">
        <x:is>
          <x:t xml:space="preserve">SEIC 515</x:t>
        </x:is>
      </x:c>
      <x:c r="B46" s="6">
        <x:f>IFERROR(VALUE(LEFT(SUBSTITUTE($A46,"SEIC ",""),1)),"")</x:f>
        <x:v>5</x:v>
      </x:c>
      <x:c r="C46" s="5" t="inlineStr">
        <x:is>
          <x:t xml:space="preserve">Classroom</x:t>
        </x:is>
      </x:c>
      <x:c r="D46" s="5" t="inlineStr">
        <x:is>
          <x:t xml:space="preserve">Classroom</x:t>
        </x:is>
      </x:c>
      <x:c r="E46" s="5" t="inlineStr">
        <x:is>
          <x:t xml:space="preserve">LCD TV, HDMI</x:t>
        </x:is>
      </x:c>
      <x:c r="F46" s="7" t="inlineStr">
        <x:is>
          <x:t xml:space="preserve">Classroom Technology Database</x:t>
        </x:is>
      </x:c>
      <x:c r="G46" s="7" t="inlineStr">
        <x:is>
          <x:t xml:space="preserve">https://classrooms.sfsu.edu/rooms</x:t>
        </x:is>
      </x:c>
      <x:c r="H46" s="7" t="inlineStr">
        <x:is>
          <x:t xml:space="preserve"/>
        </x:is>
      </x:c>
    </x:row>
    <x:row r="47" ht="30" customHeight="1">
      <x:c r="A47" s="5" t="inlineStr">
        <x:is>
          <x:t xml:space="preserve">SEIC 516</x:t>
        </x:is>
      </x:c>
      <x:c r="B47" s="6">
        <x:f>IFERROR(VALUE(LEFT(SUBSTITUTE($A47,"SEIC ",""),1)),"")</x:f>
        <x:v>5</x:v>
      </x:c>
      <x:c r="C47" s="5" t="inlineStr">
        <x:is>
          <x:t xml:space="preserve">Classroom</x:t>
        </x:is>
      </x:c>
      <x:c r="D47" s="5" t="inlineStr">
        <x:is>
          <x:t xml:space="preserve">Classroom</x:t>
        </x:is>
      </x:c>
      <x:c r="E47" s="5" t="inlineStr">
        <x:is>
          <x:t xml:space="preserve">LCD TV, HDMI</x:t>
        </x:is>
      </x:c>
      <x:c r="F47" s="7" t="inlineStr">
        <x:is>
          <x:t xml:space="preserve">Classroom Technology Database</x:t>
        </x:is>
      </x:c>
      <x:c r="G47" s="7" t="inlineStr">
        <x:is>
          <x:t xml:space="preserve">https://classrooms.sfsu.edu/rooms</x:t>
        </x:is>
      </x:c>
      <x:c r="H47" s="7" t="inlineStr">
        <x:is>
          <x:t xml:space="preserve"/>
        </x:is>
      </x:c>
    </x:row>
    <x:row r="48" ht="30" customHeight="1">
      <x:c r="A48" s="5" t="inlineStr">
        <x:is>
          <x:t xml:space="preserve">SEIC 517</x:t>
        </x:is>
      </x:c>
      <x:c r="B48" s="6">
        <x:f>IFERROR(VALUE(LEFT(SUBSTITUTE($A48,"SEIC ",""),1)),"")</x:f>
        <x:v>5</x:v>
      </x:c>
      <x:c r="C48" s="5" t="inlineStr">
        <x:is>
          <x:t xml:space="preserve">Classroom</x:t>
        </x:is>
      </x:c>
      <x:c r="D48" s="5" t="inlineStr">
        <x:is>
          <x:t xml:space="preserve">Classroom</x:t>
        </x:is>
      </x:c>
      <x:c r="E48" s="5" t="inlineStr">
        <x:is>
          <x:t xml:space="preserve">LCD TV, HDMI</x:t>
        </x:is>
      </x:c>
      <x:c r="F48" s="7" t="inlineStr">
        <x:is>
          <x:t xml:space="preserve">Classroom Technology Database</x:t>
        </x:is>
      </x:c>
      <x:c r="G48" s="7" t="inlineStr">
        <x:is>
          <x:t xml:space="preserve">https://classrooms.sfsu.edu/rooms</x:t>
        </x:is>
      </x:c>
      <x:c r="H48" s="7" t="inlineStr">
        <x:is>
          <x:t xml:space="preserve"/>
        </x:is>
      </x:c>
    </x:row>
    <x:row r="49" ht="30" customHeight="1">
      <x:c r="A49" s="5" t="inlineStr">
        <x:is>
          <x:t xml:space="preserve">SEIC 518</x:t>
        </x:is>
      </x:c>
      <x:c r="B49" s="6">
        <x:f>IFERROR(VALUE(LEFT(SUBSTITUTE($A49,"SEIC ",""),1)),"")</x:f>
        <x:v>5</x:v>
      </x:c>
      <x:c r="C49" s="5" t="inlineStr">
        <x:is>
          <x:t xml:space="preserve">Classroom</x:t>
        </x:is>
      </x:c>
      <x:c r="D49" s="5" t="inlineStr">
        <x:is>
          <x:t xml:space="preserve">Classroom</x:t>
        </x:is>
      </x:c>
      <x:c r="E49" s="5" t="inlineStr">
        <x:is>
          <x:t xml:space="preserve">LCD TV, HDMI</x:t>
        </x:is>
      </x:c>
      <x:c r="F49" s="7" t="inlineStr">
        <x:is>
          <x:t xml:space="preserve">Classroom Technology Database</x:t>
        </x:is>
      </x:c>
      <x:c r="G49" s="7" t="inlineStr">
        <x:is>
          <x:t xml:space="preserve">https://classrooms.sfsu.edu/rooms</x:t>
        </x:is>
      </x:c>
      <x:c r="H49" s="7" t="inlineStr">
        <x:is>
          <x:t xml:space="preserve"/>
        </x:is>
      </x:c>
    </x:row>
    <x:row r="50" ht="30" customHeight="1">
      <x:c r="A50" s="5" t="inlineStr">
        <x:is>
          <x:t xml:space="preserve">SEIC 519</x:t>
        </x:is>
      </x:c>
      <x:c r="B50" s="6">
        <x:f>IFERROR(VALUE(LEFT(SUBSTITUTE($A50,"SEIC ",""),1)),"")</x:f>
        <x:v>5</x:v>
      </x:c>
      <x:c r="C50" s="5" t="inlineStr">
        <x:is>
          <x:t xml:space="preserve">Classroom</x:t>
        </x:is>
      </x:c>
      <x:c r="D50" s="5" t="inlineStr">
        <x:is>
          <x:t xml:space="preserve">Classroom</x:t>
        </x:is>
      </x:c>
      <x:c r="E50" s="5" t="inlineStr">
        <x:is>
          <x:t xml:space="preserve">LCD TV, HDMI, Zoom Enabled</x:t>
        </x:is>
      </x:c>
      <x:c r="F50" s="7" t="inlineStr">
        <x:is>
          <x:t xml:space="preserve">Classroom Technology Database</x:t>
        </x:is>
      </x:c>
      <x:c r="G50" s="7" t="inlineStr">
        <x:is>
          <x:t xml:space="preserve">https://classrooms.sfsu.edu/rooms</x:t>
        </x:is>
      </x:c>
      <x:c r="H50" s="7" t="inlineStr">
        <x:is>
          <x:t xml:space="preserve"/>
        </x:is>
      </x:c>
    </x:row>
  </x:sheetData>
  <x:conditionalFormatting sqref="H2:H50">
    <x:cfRule type="expression" dxfId="0" priority="1">
      <x:formula>LEN(H2)&gt;0</x:formula>
    </x:cfRule>
  </x:conditionalFormatting>
  <x:pageMargins left="0.7" right="0.7" top="0.75" bottom="0.75" header="0.3" footer="0.3"/>
  <x:legacyDrawing xmlns:r="http://schemas.openxmlformats.org/officeDocument/2006/relationships" r:id="Rd184ec0006094df1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0" customWidth="1"/>
    <x:col min="3" max="3" width="28" customWidth="1"/>
    <x:col min="4" max="4" width="14" customWidth="1"/>
    <x:col min="5" max="5" width="8" customWidth="1"/>
    <x:col min="6" max="6" width="52" customWidth="1"/>
    <x:col min="7" max="7" width="22" customWidth="1"/>
    <x:col min="8" max="8" width="36" customWidth="1"/>
  </x:cols>
  <x:sheetData>
    <x:row r="1">
      <x:c r="A1" s="4" t="inlineStr">
        <x:is>
          <x:t xml:space="preserve">Name</x:t>
        </x:is>
      </x:c>
      <x:c r="B1" s="4" t="inlineStr">
        <x:is>
          <x:t xml:space="preserve">Title / role</x:t>
        </x:is>
      </x:c>
      <x:c r="C1" s="4" t="inlineStr">
        <x:is>
          <x:t xml:space="preserve">Department / group</x:t>
        </x:is>
      </x:c>
      <x:c r="D1" s="4" t="inlineStr">
        <x:is>
          <x:t xml:space="preserve">Office</x:t>
        </x:is>
      </x:c>
      <x:c r="E1" s="4" t="inlineStr">
        <x:is>
          <x:t xml:space="preserve">Floor</x:t>
        </x:is>
      </x:c>
      <x:c r="F1" s="4" t="inlineStr">
        <x:is>
          <x:t xml:space="preserve">Notes</x:t>
        </x:is>
      </x:c>
      <x:c r="G1" s="4" t="inlineStr">
        <x:is>
          <x:t xml:space="preserve">Source page</x:t>
        </x:is>
      </x:c>
      <x:c r="H1" s="4" t="inlineStr">
        <x:is>
          <x:t xml:space="preserve">Source URL</x:t>
        </x:is>
      </x:c>
    </x:row>
    <x:row r="2" ht="30" customHeight="1">
      <x:c r="A2" s="5" t="inlineStr">
        <x:is>
          <x:t xml:space="preserve">Kwok Siong Teh</x:t>
        </x:is>
      </x:c>
      <x:c r="B2" s="5" t="inlineStr">
        <x:is>
          <x:t xml:space="preserve">Director; Professor</x:t>
        </x:is>
      </x:c>
      <x:c r="C2" s="5" t="inlineStr">
        <x:is>
          <x:t xml:space="preserve">Mechanical Engineering</x:t>
        </x:is>
      </x:c>
      <x:c r="D2" s="5" t="inlineStr">
        <x:is>
          <x:t xml:space="preserve">SEIC 311B</x:t>
        </x:is>
      </x:c>
      <x:c r="E2" s="6">
        <x:f>IFERROR(VALUE(LEFT(SUBSTITUTE($D2,"SEIC ",""),1)),"")</x:f>
        <x:v>3</x:v>
      </x:c>
      <x:c r="F2" s="7" t="inlineStr">
        <x:is>
          <x:t xml:space="preserve"/>
        </x:is>
      </x:c>
      <x:c r="G2" s="7" t="inlineStr">
        <x:is>
          <x:t xml:space="preserve">Faculty page / profile</x:t>
        </x:is>
      </x:c>
      <x:c r="H2" s="7" t="inlineStr">
        <x:is>
          <x:t xml:space="preserve">https://engineering.sfsu.edu/</x:t>
        </x:is>
      </x:c>
    </x:row>
    <x:row r="3" ht="30" customHeight="1">
      <x:c r="A3" s="5" t="inlineStr">
        <x:is>
          <x:t xml:space="preserve">A. S. (Ed) Cheng</x:t>
        </x:is>
      </x:c>
      <x:c r="B3" s="5" t="inlineStr">
        <x:is>
          <x:t xml:space="preserve">Associate Director; Professor</x:t>
        </x:is>
      </x:c>
      <x:c r="C3" s="5" t="inlineStr">
        <x:is>
          <x:t xml:space="preserve">Mechanical Engineering</x:t>
        </x:is>
      </x:c>
      <x:c r="D3" s="5" t="inlineStr">
        <x:is>
          <x:t xml:space="preserve">SEIC 329</x:t>
        </x:is>
      </x:c>
      <x:c r="E3" s="6">
        <x:f>IFERROR(VALUE(LEFT(SUBSTITUTE($D3,"SEIC ",""),1)),"")</x:f>
        <x:v>3</x:v>
      </x:c>
      <x:c r="F3" s="7" t="inlineStr">
        <x:is>
          <x:t xml:space="preserve"/>
        </x:is>
      </x:c>
      <x:c r="G3" s="7" t="inlineStr">
        <x:is>
          <x:t xml:space="preserve">Faculty page / profile</x:t>
        </x:is>
      </x:c>
      <x:c r="H3" s="7" t="inlineStr">
        <x:is>
          <x:t xml:space="preserve">https://engineering.sfsu.edu/</x:t>
        </x:is>
      </x:c>
    </x:row>
    <x:row r="4" ht="30" customHeight="1">
      <x:c r="A4" s="5" t="inlineStr">
        <x:is>
          <x:t xml:space="preserve">Cheng Chen</x:t>
        </x:is>
      </x:c>
      <x:c r="B4" s="5" t="inlineStr">
        <x:is>
          <x:t xml:space="preserve">Program Head; Professor</x:t>
        </x:is>
      </x:c>
      <x:c r="C4" s="5" t="inlineStr">
        <x:is>
          <x:t xml:space="preserve">Civil Engineering</x:t>
        </x:is>
      </x:c>
      <x:c r="D4" s="5" t="inlineStr">
        <x:is>
          <x:t xml:space="preserve">SEIC 345</x:t>
        </x:is>
      </x:c>
      <x:c r="E4" s="6">
        <x:f>IFERROR(VALUE(LEFT(SUBSTITUTE($D4,"SEIC ",""),1)),"")</x:f>
        <x:v>3</x:v>
      </x:c>
      <x:c r="F4" s="7" t="inlineStr">
        <x:is>
          <x:t xml:space="preserve"/>
        </x:is>
      </x:c>
      <x:c r="G4" s="7" t="inlineStr">
        <x:is>
          <x:t xml:space="preserve">Faculty page</x:t>
        </x:is>
      </x:c>
      <x:c r="H4" s="7" t="inlineStr">
        <x:is>
          <x:t xml:space="preserve">https://engineering.sfsu.edu/faculty</x:t>
        </x:is>
      </x:c>
    </x:row>
    <x:row r="5" ht="30" customHeight="1">
      <x:c r="A5" s="5" t="inlineStr">
        <x:is>
          <x:t xml:space="preserve">Xiaorong Zhang</x:t>
        </x:is>
      </x:c>
      <x:c r="B5" s="5" t="inlineStr">
        <x:is>
          <x:t xml:space="preserve">Program Head; Professor</x:t>
        </x:is>
      </x:c>
      <x:c r="C5" s="5" t="inlineStr">
        <x:is>
          <x:t xml:space="preserve">Computer/Electrical Engineering</x:t>
        </x:is>
      </x:c>
      <x:c r="D5" s="5" t="inlineStr">
        <x:is>
          <x:t xml:space="preserve">SEIC 349</x:t>
        </x:is>
      </x:c>
      <x:c r="E5" s="6">
        <x:f>IFERROR(VALUE(LEFT(SUBSTITUTE($D5,"SEIC ",""),1)),"")</x:f>
        <x:v>3</x:v>
      </x:c>
      <x:c r="F5" s="7" t="inlineStr">
        <x:is>
          <x:t xml:space="preserve"/>
        </x:is>
      </x:c>
      <x:c r="G5" s="7" t="inlineStr">
        <x:is>
          <x:t xml:space="preserve">Faculty page / profile</x:t>
        </x:is>
      </x:c>
      <x:c r="H5" s="7" t="inlineStr">
        <x:is>
          <x:t xml:space="preserve">https://engineering.sfsu.edu/</x:t>
        </x:is>
      </x:c>
    </x:row>
    <x:row r="6" ht="30" customHeight="1">
      <x:c r="A6" s="5" t="inlineStr">
        <x:is>
          <x:t xml:space="preserve">Mojtaba Azadi</x:t>
        </x:is>
      </x:c>
      <x:c r="B6" s="5" t="inlineStr">
        <x:is>
          <x:t xml:space="preserve">Program Head; Associate Professor</x:t>
        </x:is>
      </x:c>
      <x:c r="C6" s="5" t="inlineStr">
        <x:is>
          <x:t xml:space="preserve">Mechanical Engineering</x:t>
        </x:is>
      </x:c>
      <x:c r="D6" s="5" t="inlineStr">
        <x:is>
          <x:t xml:space="preserve">SEIC 322</x:t>
        </x:is>
      </x:c>
      <x:c r="E6" s="6">
        <x:f>IFERROR(VALUE(LEFT(SUBSTITUTE($D6,"SEIC ",""),1)),"")</x:f>
        <x:v>3</x:v>
      </x:c>
      <x:c r="F6" s="7" t="inlineStr">
        <x:is>
          <x:t xml:space="preserve"/>
        </x:is>
      </x:c>
      <x:c r="G6" s="7" t="inlineStr">
        <x:is>
          <x:t xml:space="preserve">Faculty page / profile</x:t>
        </x:is>
      </x:c>
      <x:c r="H6" s="7" t="inlineStr">
        <x:is>
          <x:t xml:space="preserve">https://engineering.sfsu.edu/</x:t>
        </x:is>
      </x:c>
    </x:row>
    <x:row r="7" ht="30" customHeight="1">
      <x:c r="A7" s="5" t="inlineStr">
        <x:is>
          <x:t xml:space="preserve">Hamid Mahmoodi</x:t>
        </x:is>
      </x:c>
      <x:c r="B7" s="5" t="inlineStr">
        <x:is>
          <x:t xml:space="preserve">Graduate Coordinator; Professor</x:t>
        </x:is>
      </x:c>
      <x:c r="C7" s="5" t="inlineStr">
        <x:is>
          <x:t xml:space="preserve">Electrical &amp; Computer Engineering</x:t>
        </x:is>
      </x:c>
      <x:c r="D7" s="5" t="inlineStr">
        <x:is>
          <x:t xml:space="preserve">SEIC 336</x:t>
        </x:is>
      </x:c>
      <x:c r="E7" s="6">
        <x:f>IFERROR(VALUE(LEFT(SUBSTITUTE($D7,"SEIC ",""),1)),"")</x:f>
        <x:v>3</x:v>
      </x:c>
      <x:c r="F7" s="7" t="inlineStr">
        <x:is>
          <x:t xml:space="preserve"/>
        </x:is>
      </x:c>
      <x:c r="G7" s="7" t="inlineStr">
        <x:is>
          <x:t xml:space="preserve">Faculty page / profile</x:t>
        </x:is>
      </x:c>
      <x:c r="H7" s="7" t="inlineStr">
        <x:is>
          <x:t xml:space="preserve">https://engineering.sfsu.edu/</x:t>
        </x:is>
      </x:c>
    </x:row>
    <x:row r="8" ht="30" customHeight="1">
      <x:c r="A8" s="5" t="inlineStr">
        <x:is>
          <x:t xml:space="preserve">Zhaoshuo Jiang</x:t>
        </x:is>
      </x:c>
      <x:c r="B8" s="5" t="inlineStr">
        <x:is>
          <x:t xml:space="preserve">Graduate Coordinator; Professor</x:t>
        </x:is>
      </x:c>
      <x:c r="C8" s="5" t="inlineStr">
        <x:is>
          <x:t xml:space="preserve">Civil Engineering</x:t>
        </x:is>
      </x:c>
      <x:c r="D8" s="5" t="inlineStr">
        <x:is>
          <x:t xml:space="preserve">SEIC 334</x:t>
        </x:is>
      </x:c>
      <x:c r="E8" s="6">
        <x:f>IFERROR(VALUE(LEFT(SUBSTITUTE($D8,"SEIC ",""),1)),"")</x:f>
        <x:v>3</x:v>
      </x:c>
      <x:c r="F8" s="7" t="inlineStr">
        <x:is>
          <x:t xml:space="preserve">Faculty list also shows SEIC 346 in one section; profile page shows SEIC 334.</x:t>
        </x:is>
      </x:c>
      <x:c r="G8" s="7" t="inlineStr">
        <x:is>
          <x:t xml:space="preserve">Faculty page / profile</x:t>
        </x:is>
      </x:c>
      <x:c r="H8" s="7" t="inlineStr">
        <x:is>
          <x:t xml:space="preserve">https://engineering.sfsu.edu/</x:t>
        </x:is>
      </x:c>
    </x:row>
    <x:row r="9" ht="30" customHeight="1">
      <x:c r="A9" s="5" t="inlineStr">
        <x:is>
          <x:t xml:space="preserve">David Quintero</x:t>
        </x:is>
      </x:c>
      <x:c r="B9" s="5" t="inlineStr">
        <x:is>
          <x:t xml:space="preserve">Graduate Coordinator; Associate Professor</x:t>
        </x:is>
      </x:c>
      <x:c r="C9" s="5" t="inlineStr">
        <x:is>
          <x:t xml:space="preserve">Mechanical Engineering</x:t>
        </x:is>
      </x:c>
      <x:c r="D9" s="5" t="inlineStr">
        <x:is>
          <x:t xml:space="preserve">SEIC 350</x:t>
        </x:is>
      </x:c>
      <x:c r="E9" s="6">
        <x:f>IFERROR(VALUE(LEFT(SUBSTITUTE($D9,"SEIC ",""),1)),"")</x:f>
        <x:v>3</x:v>
      </x:c>
      <x:c r="F9" s="7" t="inlineStr">
        <x:is>
          <x:t xml:space="preserve"/>
        </x:is>
      </x:c>
      <x:c r="G9" s="7" t="inlineStr">
        <x:is>
          <x:t xml:space="preserve">Faculty page / profile</x:t>
        </x:is>
      </x:c>
      <x:c r="H9" s="7" t="inlineStr">
        <x:is>
          <x:t xml:space="preserve">https://engineering.sfsu.edu/</x:t>
        </x:is>
      </x:c>
    </x:row>
    <x:row r="10" ht="30" customHeight="1">
      <x:c r="A10" s="5" t="inlineStr">
        <x:is>
          <x:t xml:space="preserve">Tim D'Orazio</x:t>
        </x:is>
      </x:c>
      <x:c r="B10" s="5" t="inlineStr">
        <x:is>
          <x:t xml:space="preserve">Professor</x:t>
        </x:is>
      </x:c>
      <x:c r="C10" s="5" t="inlineStr">
        <x:is>
          <x:t xml:space="preserve">Civil Engineering</x:t>
        </x:is>
      </x:c>
      <x:c r="D10" s="5" t="inlineStr">
        <x:is>
          <x:t xml:space="preserve">SEIC 348</x:t>
        </x:is>
      </x:c>
      <x:c r="E10" s="6">
        <x:f>IFERROR(VALUE(LEFT(SUBSTITUTE($D10,"SEIC ",""),1)),"")</x:f>
        <x:v>3</x:v>
      </x:c>
      <x:c r="F10" s="7" t="inlineStr">
        <x:is>
          <x:t xml:space="preserve"/>
        </x:is>
      </x:c>
      <x:c r="G10" s="7" t="inlineStr">
        <x:is>
          <x:t xml:space="preserve">Faculty page</x:t>
        </x:is>
      </x:c>
      <x:c r="H10" s="7" t="inlineStr">
        <x:is>
          <x:t xml:space="preserve">https://engineering.sfsu.edu/faculty</x:t>
        </x:is>
      </x:c>
    </x:row>
    <x:row r="11" ht="30" customHeight="1">
      <x:c r="A11" s="5" t="inlineStr">
        <x:is>
          <x:t xml:space="preserve">Elahe Enssani</x:t>
        </x:is>
      </x:c>
      <x:c r="B11" s="5" t="inlineStr">
        <x:is>
          <x:t xml:space="preserve">Associate Professor</x:t>
        </x:is>
      </x:c>
      <x:c r="C11" s="5" t="inlineStr">
        <x:is>
          <x:t xml:space="preserve">Civil Engineering</x:t>
        </x:is>
      </x:c>
      <x:c r="D11" s="5" t="inlineStr">
        <x:is>
          <x:t xml:space="preserve">SEIC 339</x:t>
        </x:is>
      </x:c>
      <x:c r="E11" s="6">
        <x:f>IFERROR(VALUE(LEFT(SUBSTITUTE($D11,"SEIC ",""),1)),"")</x:f>
        <x:v>3</x:v>
      </x:c>
      <x:c r="F11" s="7" t="inlineStr">
        <x:is>
          <x:t xml:space="preserve"/>
        </x:is>
      </x:c>
      <x:c r="G11" s="7" t="inlineStr">
        <x:is>
          <x:t xml:space="preserve">Faculty page / profile</x:t>
        </x:is>
      </x:c>
      <x:c r="H11" s="7" t="inlineStr">
        <x:is>
          <x:t xml:space="preserve">https://engineering.sfsu.edu/</x:t>
        </x:is>
      </x:c>
    </x:row>
    <x:row r="12" ht="30" customHeight="1">
      <x:c r="A12" s="5" t="inlineStr">
        <x:is>
          <x:t xml:space="preserve">Wenshen Pong</x:t>
        </x:is>
      </x:c>
      <x:c r="B12" s="5" t="inlineStr">
        <x:is>
          <x:t xml:space="preserve">Professor</x:t>
        </x:is>
      </x:c>
      <x:c r="C12" s="5" t="inlineStr">
        <x:is>
          <x:t xml:space="preserve">Civil Engineering</x:t>
        </x:is>
      </x:c>
      <x:c r="D12" s="5" t="inlineStr">
        <x:is>
          <x:t xml:space="preserve">SEIC 338</x:t>
        </x:is>
      </x:c>
      <x:c r="E12" s="6">
        <x:f>IFERROR(VALUE(LEFT(SUBSTITUTE($D12,"SEIC ",""),1)),"")</x:f>
        <x:v>3</x:v>
      </x:c>
      <x:c r="F12" s="7" t="inlineStr">
        <x:is>
          <x:t xml:space="preserve"/>
        </x:is>
      </x:c>
      <x:c r="G12" s="7" t="inlineStr">
        <x:is>
          <x:t xml:space="preserve">Faculty page / profile</x:t>
        </x:is>
      </x:c>
      <x:c r="H12" s="7" t="inlineStr">
        <x:is>
          <x:t xml:space="preserve">https://engineering.sfsu.edu/</x:t>
        </x:is>
      </x:c>
    </x:row>
    <x:row r="13" ht="30" customHeight="1">
      <x:c r="A13" s="5" t="inlineStr">
        <x:is>
          <x:t xml:space="preserve">Ghassan Tarakji</x:t>
        </x:is>
      </x:c>
      <x:c r="B13" s="5" t="inlineStr">
        <x:is>
          <x:t xml:space="preserve">Professor</x:t>
        </x:is>
      </x:c>
      <x:c r="C13" s="5" t="inlineStr">
        <x:is>
          <x:t xml:space="preserve">Civil Engineering</x:t>
        </x:is>
      </x:c>
      <x:c r="D13" s="5" t="inlineStr">
        <x:is>
          <x:t xml:space="preserve">SEIC 337</x:t>
        </x:is>
      </x:c>
      <x:c r="E13" s="6">
        <x:f>IFERROR(VALUE(LEFT(SUBSTITUTE($D13,"SEIC ",""),1)),"")</x:f>
        <x:v>3</x:v>
      </x:c>
      <x:c r="F13" s="7" t="inlineStr">
        <x:is>
          <x:t xml:space="preserve"/>
        </x:is>
      </x:c>
      <x:c r="G13" s="7" t="inlineStr">
        <x:is>
          <x:t xml:space="preserve">Faculty page</x:t>
        </x:is>
      </x:c>
      <x:c r="H13" s="7" t="inlineStr">
        <x:is>
          <x:t xml:space="preserve">https://engineering.sfsu.edu/faculty</x:t>
        </x:is>
      </x:c>
    </x:row>
    <x:row r="14" ht="30" customHeight="1">
      <x:c r="A14" s="5" t="inlineStr">
        <x:is>
          <x:t xml:space="preserve">Jenna Wong</x:t>
        </x:is>
      </x:c>
      <x:c r="B14" s="5" t="inlineStr">
        <x:is>
          <x:t xml:space="preserve">Associate Professor</x:t>
        </x:is>
      </x:c>
      <x:c r="C14" s="5" t="inlineStr">
        <x:is>
          <x:t xml:space="preserve">Civil Engineering</x:t>
        </x:is>
      </x:c>
      <x:c r="D14" s="5" t="inlineStr">
        <x:is>
          <x:t xml:space="preserve">SEIC 331</x:t>
        </x:is>
      </x:c>
      <x:c r="E14" s="6">
        <x:f>IFERROR(VALUE(LEFT(SUBSTITUTE($D14,"SEIC ",""),1)),"")</x:f>
        <x:v>3</x:v>
      </x:c>
      <x:c r="F14" s="7" t="inlineStr">
        <x:is>
          <x:t xml:space="preserve"/>
        </x:is>
      </x:c>
      <x:c r="G14" s="7" t="inlineStr">
        <x:is>
          <x:t xml:space="preserve">Faculty page</x:t>
        </x:is>
      </x:c>
      <x:c r="H14" s="7" t="inlineStr">
        <x:is>
          <x:t xml:space="preserve">https://engineering.sfsu.edu/faculty</x:t>
        </x:is>
      </x:c>
    </x:row>
    <x:row r="15" ht="30" customHeight="1">
      <x:c r="A15" s="5" t="inlineStr">
        <x:is>
          <x:t xml:space="preserve">Yiyi Wang</x:t>
        </x:is>
      </x:c>
      <x:c r="B15" s="5" t="inlineStr">
        <x:is>
          <x:t xml:space="preserve">Associate Professor</x:t>
        </x:is>
      </x:c>
      <x:c r="C15" s="5" t="inlineStr">
        <x:is>
          <x:t xml:space="preserve">Civil Engineering</x:t>
        </x:is>
      </x:c>
      <x:c r="D15" s="5" t="inlineStr">
        <x:is>
          <x:t xml:space="preserve">SEIC 333</x:t>
        </x:is>
      </x:c>
      <x:c r="E15" s="6">
        <x:f>IFERROR(VALUE(LEFT(SUBSTITUTE($D15,"SEIC ",""),1)),"")</x:f>
        <x:v>3</x:v>
      </x:c>
      <x:c r="F15" s="7" t="inlineStr">
        <x:is>
          <x:t xml:space="preserve"/>
        </x:is>
      </x:c>
      <x:c r="G15" s="7" t="inlineStr">
        <x:is>
          <x:t xml:space="preserve">Faculty page</x:t>
        </x:is>
      </x:c>
      <x:c r="H15" s="7" t="inlineStr">
        <x:is>
          <x:t xml:space="preserve">https://engineering.sfsu.edu/faculty</x:t>
        </x:is>
      </x:c>
    </x:row>
    <x:row r="16" ht="30" customHeight="1">
      <x:c r="A16" s="5" t="inlineStr">
        <x:is>
          <x:t xml:space="preserve">Tom Holton</x:t>
        </x:is>
      </x:c>
      <x:c r="B16" s="5" t="inlineStr">
        <x:is>
          <x:t xml:space="preserve">Professor</x:t>
        </x:is>
      </x:c>
      <x:c r="C16" s="5" t="inlineStr">
        <x:is>
          <x:t xml:space="preserve">Computer Engineering / Electrical Engineering</x:t>
        </x:is>
      </x:c>
      <x:c r="D16" s="5" t="inlineStr">
        <x:is>
          <x:t xml:space="preserve">SEIC 334</x:t>
        </x:is>
      </x:c>
      <x:c r="E16" s="6">
        <x:f>IFERROR(VALUE(LEFT(SUBSTITUTE($D16,"SEIC ",""),1)),"")</x:f>
        <x:v>3</x:v>
      </x:c>
      <x:c r="F16" s="7" t="inlineStr">
        <x:is>
          <x:t xml:space="preserve"/>
        </x:is>
      </x:c>
      <x:c r="G16" s="7" t="inlineStr">
        <x:is>
          <x:t xml:space="preserve">Faculty page</x:t>
        </x:is>
      </x:c>
      <x:c r="H16" s="7" t="inlineStr">
        <x:is>
          <x:t xml:space="preserve">https://engineering.sfsu.edu/faculty</x:t>
        </x:is>
      </x:c>
    </x:row>
    <x:row r="17" ht="30" customHeight="1">
      <x:c r="A17" s="5" t="inlineStr">
        <x:is>
          <x:t xml:space="preserve">Hamid Shahnasser</x:t>
        </x:is>
      </x:c>
      <x:c r="B17" s="5" t="inlineStr">
        <x:is>
          <x:t xml:space="preserve">Professor</x:t>
        </x:is>
      </x:c>
      <x:c r="C17" s="5" t="inlineStr">
        <x:is>
          <x:t xml:space="preserve">Computer Engineering / Electrical Engineering</x:t>
        </x:is>
      </x:c>
      <x:c r="D17" s="5" t="inlineStr">
        <x:is>
          <x:t xml:space="preserve">SEIC 332</x:t>
        </x:is>
      </x:c>
      <x:c r="E17" s="6">
        <x:f>IFERROR(VALUE(LEFT(SUBSTITUTE($D17,"SEIC ",""),1)),"")</x:f>
        <x:v>3</x:v>
      </x:c>
      <x:c r="F17" s="7" t="inlineStr">
        <x:is>
          <x:t xml:space="preserve"/>
        </x:is>
      </x:c>
      <x:c r="G17" s="7" t="inlineStr">
        <x:is>
          <x:t xml:space="preserve">Faculty page</x:t>
        </x:is>
      </x:c>
      <x:c r="H17" s="7" t="inlineStr">
        <x:is>
          <x:t xml:space="preserve">https://engineering.sfsu.edu/faculty</x:t>
        </x:is>
      </x:c>
    </x:row>
    <x:row r="18" ht="30" customHeight="1">
      <x:c r="A18" s="5" t="inlineStr">
        <x:is>
          <x:t xml:space="preserve">Hao Jiang</x:t>
        </x:is>
      </x:c>
      <x:c r="B18" s="5" t="inlineStr">
        <x:is>
          <x:t xml:space="preserve">Professor</x:t>
        </x:is>
      </x:c>
      <x:c r="C18" s="5" t="inlineStr">
        <x:is>
          <x:t xml:space="preserve">Computer Engineering / Electrical Engineering</x:t>
        </x:is>
      </x:c>
      <x:c r="D18" s="5" t="inlineStr">
        <x:is>
          <x:t xml:space="preserve">SEIC 343</x:t>
        </x:is>
      </x:c>
      <x:c r="E18" s="6">
        <x:f>IFERROR(VALUE(LEFT(SUBSTITUTE($D18,"SEIC ",""),1)),"")</x:f>
        <x:v>3</x:v>
      </x:c>
      <x:c r="F18" s="7" t="inlineStr">
        <x:is>
          <x:t xml:space="preserve"/>
        </x:is>
      </x:c>
      <x:c r="G18" s="7" t="inlineStr">
        <x:is>
          <x:t xml:space="preserve">Faculty page</x:t>
        </x:is>
      </x:c>
      <x:c r="H18" s="7" t="inlineStr">
        <x:is>
          <x:t xml:space="preserve">https://engineering.sfsu.edu/faculty</x:t>
        </x:is>
      </x:c>
    </x:row>
    <x:row r="19" ht="30" customHeight="1">
      <x:c r="A19" s="5" t="inlineStr">
        <x:is>
          <x:t xml:space="preserve">Zhuwei Qin</x:t>
        </x:is>
      </x:c>
      <x:c r="B19" s="5" t="inlineStr">
        <x:is>
          <x:t xml:space="preserve">Assistant Professor</x:t>
        </x:is>
      </x:c>
      <x:c r="C19" s="5" t="inlineStr">
        <x:is>
          <x:t xml:space="preserve">Computer Engineering</x:t>
        </x:is>
      </x:c>
      <x:c r="D19" s="5" t="inlineStr">
        <x:is>
          <x:t xml:space="preserve">SEIC 342</x:t>
        </x:is>
      </x:c>
      <x:c r="E19" s="6">
        <x:f>IFERROR(VALUE(LEFT(SUBSTITUTE($D19,"SEIC ",""),1)),"")</x:f>
        <x:v>3</x:v>
      </x:c>
      <x:c r="F19" s="7" t="inlineStr">
        <x:is>
          <x:t xml:space="preserve"/>
        </x:is>
      </x:c>
      <x:c r="G19" s="7" t="inlineStr">
        <x:is>
          <x:t xml:space="preserve">Faculty page / profile</x:t>
        </x:is>
      </x:c>
      <x:c r="H19" s="7" t="inlineStr">
        <x:is>
          <x:t xml:space="preserve">https://engineering.sfsu.edu/</x:t>
        </x:is>
      </x:c>
    </x:row>
    <x:row r="20" ht="30" customHeight="1">
      <x:c r="A20" s="5" t="inlineStr">
        <x:is>
          <x:t xml:space="preserve">Stephanie Claussen</x:t>
        </x:is>
      </x:c>
      <x:c r="B20" s="5" t="inlineStr">
        <x:is>
          <x:t xml:space="preserve">Assistant Professor</x:t>
        </x:is>
      </x:c>
      <x:c r="C20" s="5" t="inlineStr">
        <x:is>
          <x:t xml:space="preserve">Computer Engineering / Electrical Engineering</x:t>
        </x:is>
      </x:c>
      <x:c r="D20" s="5" t="inlineStr">
        <x:is>
          <x:t xml:space="preserve">SEIC 323</x:t>
        </x:is>
      </x:c>
      <x:c r="E20" s="6">
        <x:f>IFERROR(VALUE(LEFT(SUBSTITUTE($D20,"SEIC ",""),1)),"")</x:f>
        <x:v>3</x:v>
      </x:c>
      <x:c r="F20" s="7" t="inlineStr">
        <x:is>
          <x:t xml:space="preserve"/>
        </x:is>
      </x:c>
      <x:c r="G20" s="7" t="inlineStr">
        <x:is>
          <x:t xml:space="preserve">Faculty page</x:t>
        </x:is>
      </x:c>
      <x:c r="H20" s="7" t="inlineStr">
        <x:is>
          <x:t xml:space="preserve">https://engineering.sfsu.edu/faculty</x:t>
        </x:is>
      </x:c>
    </x:row>
    <x:row r="21" ht="30" customHeight="1">
      <x:c r="A21" s="5" t="inlineStr">
        <x:is>
          <x:t xml:space="preserve">Sanchita Ghose</x:t>
        </x:is>
      </x:c>
      <x:c r="B21" s="5" t="inlineStr">
        <x:is>
          <x:t xml:space="preserve">Assistant Professor</x:t>
        </x:is>
      </x:c>
      <x:c r="C21" s="5" t="inlineStr">
        <x:is>
          <x:t xml:space="preserve">Electrical and Computer Engineering</x:t>
        </x:is>
      </x:c>
      <x:c r="D21" s="5" t="inlineStr">
        <x:is>
          <x:t xml:space="preserve">SEIC 344</x:t>
        </x:is>
      </x:c>
      <x:c r="E21" s="6">
        <x:f>IFERROR(VALUE(LEFT(SUBSTITUTE($D21,"SEIC ",""),1)),"")</x:f>
        <x:v>3</x:v>
      </x:c>
      <x:c r="F21" s="7" t="inlineStr">
        <x:is>
          <x:t xml:space="preserve"/>
        </x:is>
      </x:c>
      <x:c r="G21" s="7" t="inlineStr">
        <x:is>
          <x:t xml:space="preserve">Faculty page / profile</x:t>
        </x:is>
      </x:c>
      <x:c r="H21" s="7" t="inlineStr">
        <x:is>
          <x:t xml:space="preserve">https://engineering.sfsu.edu/</x:t>
        </x:is>
      </x:c>
    </x:row>
    <x:row r="22" ht="30" customHeight="1">
      <x:c r="A22" s="5" t="inlineStr">
        <x:is>
          <x:t xml:space="preserve">Alyssa Kubota</x:t>
        </x:is>
      </x:c>
      <x:c r="B22" s="5" t="inlineStr">
        <x:is>
          <x:t xml:space="preserve">Assistant Professor</x:t>
        </x:is>
      </x:c>
      <x:c r="C22" s="5" t="inlineStr">
        <x:is>
          <x:t xml:space="preserve">Computer Engineering / Electrical Engineering</x:t>
        </x:is>
      </x:c>
      <x:c r="D22" s="5" t="inlineStr">
        <x:is>
          <x:t xml:space="preserve">SEIC 326</x:t>
        </x:is>
      </x:c>
      <x:c r="E22" s="6">
        <x:f>IFERROR(VALUE(LEFT(SUBSTITUTE($D22,"SEIC ",""),1)),"")</x:f>
        <x:v>3</x:v>
      </x:c>
      <x:c r="F22" s="7" t="inlineStr">
        <x:is>
          <x:t xml:space="preserve"/>
        </x:is>
      </x:c>
      <x:c r="G22" s="7" t="inlineStr">
        <x:is>
          <x:t xml:space="preserve">Faculty page</x:t>
        </x:is>
      </x:c>
      <x:c r="H22" s="7" t="inlineStr">
        <x:is>
          <x:t xml:space="preserve">https://engineering.sfsu.edu/faculty</x:t>
        </x:is>
      </x:c>
    </x:row>
    <x:row r="23" ht="30" customHeight="1">
      <x:c r="A23" s="5" t="inlineStr">
        <x:is>
          <x:t xml:space="preserve">Ahmad Ganji</x:t>
        </x:is>
      </x:c>
      <x:c r="B23" s="5" t="inlineStr">
        <x:is>
          <x:t xml:space="preserve">Professor</x:t>
        </x:is>
      </x:c>
      <x:c r="C23" s="5" t="inlineStr">
        <x:is>
          <x:t xml:space="preserve">Mechanical Engineering</x:t>
        </x:is>
      </x:c>
      <x:c r="D23" s="5" t="inlineStr">
        <x:is>
          <x:t xml:space="preserve">SEIC 325</x:t>
        </x:is>
      </x:c>
      <x:c r="E23" s="6">
        <x:f>IFERROR(VALUE(LEFT(SUBSTITUTE($D23,"SEIC ",""),1)),"")</x:f>
        <x:v>3</x:v>
      </x:c>
      <x:c r="F23" s="7" t="inlineStr">
        <x:is>
          <x:t xml:space="preserve"/>
        </x:is>
      </x:c>
      <x:c r="G23" s="7" t="inlineStr">
        <x:is>
          <x:t xml:space="preserve">Faculty page</x:t>
        </x:is>
      </x:c>
      <x:c r="H23" s="7" t="inlineStr">
        <x:is>
          <x:t xml:space="preserve">https://engineering.sfsu.edu/faculty</x:t>
        </x:is>
      </x:c>
    </x:row>
    <x:row r="24" ht="30" customHeight="1">
      <x:c r="A24" s="5" t="inlineStr">
        <x:is>
          <x:t xml:space="preserve">Dipendra Sinha</x:t>
        </x:is>
      </x:c>
      <x:c r="B24" s="5" t="inlineStr">
        <x:is>
          <x:t xml:space="preserve">Professor</x:t>
        </x:is>
      </x:c>
      <x:c r="C24" s="5" t="inlineStr">
        <x:is>
          <x:t xml:space="preserve">Mechanical Engineering</x:t>
        </x:is>
      </x:c>
      <x:c r="D24" s="5" t="inlineStr">
        <x:is>
          <x:t xml:space="preserve">SEIC 324</x:t>
        </x:is>
      </x:c>
      <x:c r="E24" s="6">
        <x:f>IFERROR(VALUE(LEFT(SUBSTITUTE($D24,"SEIC ",""),1)),"")</x:f>
        <x:v>3</x:v>
      </x:c>
      <x:c r="F24" s="7" t="inlineStr">
        <x:is>
          <x:t xml:space="preserve"/>
        </x:is>
      </x:c>
      <x:c r="G24" s="7" t="inlineStr">
        <x:is>
          <x:t xml:space="preserve">Faculty page</x:t>
        </x:is>
      </x:c>
      <x:c r="H24" s="7" t="inlineStr">
        <x:is>
          <x:t xml:space="preserve">https://engineering.sfsu.edu/faculty</x:t>
        </x:is>
      </x:c>
    </x:row>
    <x:row r="25" ht="30" customHeight="1">
      <x:c r="A25" s="5" t="inlineStr">
        <x:is>
          <x:t xml:space="preserve">Fatemeh Khalkhal</x:t>
        </x:is>
      </x:c>
      <x:c r="B25" s="5" t="inlineStr">
        <x:is>
          <x:t xml:space="preserve">Associate Professor</x:t>
        </x:is>
      </x:c>
      <x:c r="C25" s="5" t="inlineStr">
        <x:is>
          <x:t xml:space="preserve">Mechanical Engineering</x:t>
        </x:is>
      </x:c>
      <x:c r="D25" s="5" t="inlineStr">
        <x:is>
          <x:t xml:space="preserve">SEIC 335</x:t>
        </x:is>
      </x:c>
      <x:c r="E25" s="6">
        <x:f>IFERROR(VALUE(LEFT(SUBSTITUTE($D25,"SEIC ",""),1)),"")</x:f>
        <x:v>3</x:v>
      </x:c>
      <x:c r="F25" s="7" t="inlineStr">
        <x:is>
          <x:t xml:space="preserve"/>
        </x:is>
      </x:c>
      <x:c r="G25" s="7" t="inlineStr">
        <x:is>
          <x:t xml:space="preserve">Faculty page</x:t>
        </x:is>
      </x:c>
      <x:c r="H25" s="7" t="inlineStr">
        <x:is>
          <x:t xml:space="preserve">https://engineering.sfsu.edu/faculty</x:t>
        </x:is>
      </x:c>
    </x:row>
    <x:row r="26" ht="30" customHeight="1">
      <x:c r="A26" s="5" t="inlineStr">
        <x:is>
          <x:t xml:space="preserve">Alanna Cooney</x:t>
        </x:is>
      </x:c>
      <x:c r="B26" s="5" t="inlineStr">
        <x:is>
          <x:t xml:space="preserve">Assistant Professor</x:t>
        </x:is>
      </x:c>
      <x:c r="C26" s="5" t="inlineStr">
        <x:is>
          <x:t xml:space="preserve">Mechanical Engineering</x:t>
        </x:is>
      </x:c>
      <x:c r="D26" s="5" t="inlineStr">
        <x:is>
          <x:t xml:space="preserve">SEIC 330</x:t>
        </x:is>
      </x:c>
      <x:c r="E26" s="6">
        <x:f>IFERROR(VALUE(LEFT(SUBSTITUTE($D26,"SEIC ",""),1)),"")</x:f>
        <x:v>3</x:v>
      </x:c>
      <x:c r="F26" s="7" t="inlineStr">
        <x:is>
          <x:t xml:space="preserve"/>
        </x:is>
      </x:c>
      <x:c r="G26" s="7" t="inlineStr">
        <x:is>
          <x:t xml:space="preserve">Faculty page</x:t>
        </x:is>
      </x:c>
      <x:c r="H26" s="7" t="inlineStr">
        <x:is>
          <x:t xml:space="preserve">https://engineering.sfsu.edu/faculty</x:t>
        </x:is>
      </x:c>
    </x:row>
    <x:row r="27" ht="30" customHeight="1">
      <x:c r="A27" s="5" t="inlineStr">
        <x:is>
          <x:t xml:space="preserve">Kenya Z. Mejia</x:t>
        </x:is>
      </x:c>
      <x:c r="B27" s="5" t="inlineStr">
        <x:is>
          <x:t xml:space="preserve">Assistant Professor</x:t>
        </x:is>
      </x:c>
      <x:c r="C27" s="5" t="inlineStr">
        <x:is>
          <x:t xml:space="preserve">Mechanical Engineering</x:t>
        </x:is>
      </x:c>
      <x:c r="D27" s="5" t="inlineStr">
        <x:is>
          <x:t xml:space="preserve">SEIC 328</x:t>
        </x:is>
      </x:c>
      <x:c r="E27" s="6">
        <x:f>IFERROR(VALUE(LEFT(SUBSTITUTE($D27,"SEIC ",""),1)),"")</x:f>
        <x:v>3</x:v>
      </x:c>
      <x:c r="F27" s="7" t="inlineStr">
        <x:is>
          <x:t xml:space="preserve"/>
        </x:is>
      </x:c>
      <x:c r="G27" s="7" t="inlineStr">
        <x:is>
          <x:t xml:space="preserve">Faculty page / profile</x:t>
        </x:is>
      </x:c>
      <x:c r="H27" s="7" t="inlineStr">
        <x:is>
          <x:t xml:space="preserve">https://engineering.sfsu.edu/</x:t>
        </x:is>
      </x:c>
    </x:row>
    <x:row r="28" ht="30" customHeight="1">
      <x:c r="A28" s="5" t="inlineStr">
        <x:is>
          <x:t xml:space="preserve">Selim Gunay</x:t>
        </x:is>
      </x:c>
      <x:c r="B28" s="5" t="inlineStr">
        <x:is>
          <x:t xml:space="preserve">Lecturer</x:t>
        </x:is>
      </x:c>
      <x:c r="C28" s="5" t="inlineStr">
        <x:is>
          <x:t xml:space="preserve">Civil Engineering</x:t>
        </x:is>
      </x:c>
      <x:c r="D28" s="5" t="inlineStr">
        <x:is>
          <x:t xml:space="preserve">SEIC 327</x:t>
        </x:is>
      </x:c>
      <x:c r="E28" s="6">
        <x:f>IFERROR(VALUE(LEFT(SUBSTITUTE($D28,"SEIC ",""),1)),"")</x:f>
        <x:v>3</x:v>
      </x:c>
      <x:c r="F28" s="7" t="inlineStr">
        <x:is>
          <x:t xml:space="preserve"/>
        </x:is>
      </x:c>
      <x:c r="G28" s="7" t="inlineStr">
        <x:is>
          <x:t xml:space="preserve">Lecturer Faculty + GTA page</x:t>
        </x:is>
      </x:c>
      <x:c r="H28" s="7" t="inlineStr">
        <x:is>
          <x:t xml:space="preserve">https://engineering.sfsu.edu/lecturer-Faculty-%2B-GTA</x:t>
        </x:is>
      </x:c>
    </x:row>
    <x:row r="29" ht="30" customHeight="1">
      <x:c r="A29" s="5" t="inlineStr">
        <x:is>
          <x:t xml:space="preserve">Jun Jiang Liang</x:t>
        </x:is>
      </x:c>
      <x:c r="B29" s="5" t="inlineStr">
        <x:is>
          <x:t xml:space="preserve">Lecturer</x:t>
        </x:is>
      </x:c>
      <x:c r="C29" s="5" t="inlineStr">
        <x:is>
          <x:t xml:space="preserve">Civil Engineering</x:t>
        </x:is>
      </x:c>
      <x:c r="D29" s="5" t="inlineStr">
        <x:is>
          <x:t xml:space="preserve">SEIC 340</x:t>
        </x:is>
      </x:c>
      <x:c r="E29" s="6">
        <x:f>IFERROR(VALUE(LEFT(SUBSTITUTE($D29,"SEIC ",""),1)),"")</x:f>
        <x:v>3</x:v>
      </x:c>
      <x:c r="F29" s="7" t="inlineStr">
        <x:is>
          <x:t xml:space="preserve"/>
        </x:is>
      </x:c>
      <x:c r="G29" s="7" t="inlineStr">
        <x:is>
          <x:t xml:space="preserve">Lecturer Faculty + GTA page</x:t>
        </x:is>
      </x:c>
      <x:c r="H29" s="7" t="inlineStr">
        <x:is>
          <x:t xml:space="preserve">https://engineering.sfsu.edu/lecturer-Faculty-%2B-GTA</x:t>
        </x:is>
      </x:c>
    </x:row>
    <x:row r="30" ht="30" customHeight="1">
      <x:c r="A30" s="5" t="inlineStr">
        <x:is>
          <x:t xml:space="preserve">Yuanhong Chen</x:t>
        </x:is>
      </x:c>
      <x:c r="B30" s="5" t="inlineStr">
        <x:is>
          <x:t xml:space="preserve">Lecturer</x:t>
        </x:is>
      </x:c>
      <x:c r="C30" s="5" t="inlineStr">
        <x:is>
          <x:t xml:space="preserve">Civil Engineering</x:t>
        </x:is>
      </x:c>
      <x:c r="D30" s="5" t="inlineStr">
        <x:is>
          <x:t xml:space="preserve">SEIC 338</x:t>
        </x:is>
      </x:c>
      <x:c r="E30" s="6">
        <x:f>IFERROR(VALUE(LEFT(SUBSTITUTE($D30,"SEIC ",""),1)),"")</x:f>
        <x:v>3</x:v>
      </x:c>
      <x:c r="F30" s="7" t="inlineStr">
        <x:is>
          <x:t xml:space="preserve"/>
        </x:is>
      </x:c>
      <x:c r="G30" s="7" t="inlineStr">
        <x:is>
          <x:t xml:space="preserve">Lecturer Faculty + GTA page</x:t>
        </x:is>
      </x:c>
      <x:c r="H30" s="7" t="inlineStr">
        <x:is>
          <x:t xml:space="preserve">https://engineering.sfsu.edu/lecturer-Faculty-%2B-GTA</x:t>
        </x:is>
      </x:c>
    </x:row>
    <x:row r="31" ht="30" customHeight="1">
      <x:c r="A31" s="5" t="inlineStr">
        <x:is>
          <x:t xml:space="preserve">Mohammad HajiAboli</x:t>
        </x:is>
      </x:c>
      <x:c r="B31" s="5" t="inlineStr">
        <x:is>
          <x:t xml:space="preserve">Lecturer</x:t>
        </x:is>
      </x:c>
      <x:c r="C31" s="5" t="inlineStr">
        <x:is>
          <x:t xml:space="preserve">Electrical/Computer Engineering</x:t>
        </x:is>
      </x:c>
      <x:c r="D31" s="5" t="inlineStr">
        <x:is>
          <x:t xml:space="preserve">SEIC 341</x:t>
        </x:is>
      </x:c>
      <x:c r="E31" s="6">
        <x:f>IFERROR(VALUE(LEFT(SUBSTITUTE($D31,"SEIC ",""),1)),"")</x:f>
        <x:v>3</x:v>
      </x:c>
      <x:c r="F31" s="7" t="inlineStr">
        <x:is>
          <x:t xml:space="preserve"/>
        </x:is>
      </x:c>
      <x:c r="G31" s="7" t="inlineStr">
        <x:is>
          <x:t xml:space="preserve">Lecturer Faculty + GTA page</x:t>
        </x:is>
      </x:c>
      <x:c r="H31" s="7" t="inlineStr">
        <x:is>
          <x:t xml:space="preserve">https://engineering.sfsu.edu/lecturer-Faculty-%2B-GTA</x:t>
        </x:is>
      </x:c>
    </x:row>
    <x:row r="32" ht="30" customHeight="1">
      <x:c r="A32" s="5" t="inlineStr">
        <x:is>
          <x:t xml:space="preserve">Jonathan Song</x:t>
        </x:is>
      </x:c>
      <x:c r="B32" s="5" t="inlineStr">
        <x:is>
          <x:t xml:space="preserve">Lecturer</x:t>
        </x:is>
      </x:c>
      <x:c r="C32" s="5" t="inlineStr">
        <x:is>
          <x:t xml:space="preserve">Electrical/Computer Engineering</x:t>
        </x:is>
      </x:c>
      <x:c r="D32" s="5" t="inlineStr">
        <x:is>
          <x:t xml:space="preserve">SEIC 338</x:t>
        </x:is>
      </x:c>
      <x:c r="E32" s="6">
        <x:f>IFERROR(VALUE(LEFT(SUBSTITUTE($D32,"SEIC ",""),1)),"")</x:f>
        <x:v>3</x:v>
      </x:c>
      <x:c r="F32" s="7" t="inlineStr">
        <x:is>
          <x:t xml:space="preserve"/>
        </x:is>
      </x:c>
      <x:c r="G32" s="7" t="inlineStr">
        <x:is>
          <x:t xml:space="preserve">Lecturer Faculty + GTA page</x:t>
        </x:is>
      </x:c>
      <x:c r="H32" s="7" t="inlineStr">
        <x:is>
          <x:t xml:space="preserve">https://engineering.sfsu.edu/lecturer-Faculty-%2B-GTA</x:t>
        </x:is>
      </x:c>
    </x:row>
    <x:row r="33" ht="30" customHeight="1">
      <x:c r="A33" s="5" t="inlineStr">
        <x:is>
          <x:t xml:space="preserve">Mojan Norouzi</x:t>
        </x:is>
      </x:c>
      <x:c r="B33" s="5" t="inlineStr">
        <x:is>
          <x:t xml:space="preserve">Lecturer</x:t>
        </x:is>
      </x:c>
      <x:c r="C33" s="5" t="inlineStr">
        <x:is>
          <x:t xml:space="preserve">Electrical/Computer Engineering</x:t>
        </x:is>
      </x:c>
      <x:c r="D33" s="5" t="inlineStr">
        <x:is>
          <x:t xml:space="preserve">SEIC 337</x:t>
        </x:is>
      </x:c>
      <x:c r="E33" s="6">
        <x:f>IFERROR(VALUE(LEFT(SUBSTITUTE($D33,"SEIC ",""),1)),"")</x:f>
        <x:v>3</x:v>
      </x:c>
      <x:c r="F33" s="7" t="inlineStr">
        <x:is>
          <x:t xml:space="preserve"/>
        </x:is>
      </x:c>
      <x:c r="G33" s="7" t="inlineStr">
        <x:is>
          <x:t xml:space="preserve">Lecturer Faculty + GTA page</x:t>
        </x:is>
      </x:c>
      <x:c r="H33" s="7" t="inlineStr">
        <x:is>
          <x:t xml:space="preserve">https://engineering.sfsu.edu/lecturer-Faculty-%2B-GTA</x:t>
        </x:is>
      </x:c>
    </x:row>
    <x:row r="34" ht="30" customHeight="1">
      <x:c r="A34" s="5" t="inlineStr">
        <x:is>
          <x:t xml:space="preserve">Rashid Kohan</x:t>
        </x:is>
      </x:c>
      <x:c r="B34" s="5" t="inlineStr">
        <x:is>
          <x:t xml:space="preserve">Lecturer</x:t>
        </x:is>
      </x:c>
      <x:c r="C34" s="5" t="inlineStr">
        <x:is>
          <x:t xml:space="preserve">Electrical/Computer Engineering</x:t>
        </x:is>
      </x:c>
      <x:c r="D34" s="5" t="inlineStr">
        <x:is>
          <x:t xml:space="preserve">SEIC 340</x:t>
        </x:is>
      </x:c>
      <x:c r="E34" s="6">
        <x:f>IFERROR(VALUE(LEFT(SUBSTITUTE($D34,"SEIC ",""),1)),"")</x:f>
        <x:v>3</x:v>
      </x:c>
      <x:c r="F34" s="7" t="inlineStr">
        <x:is>
          <x:t xml:space="preserve"/>
        </x:is>
      </x:c>
      <x:c r="G34" s="7" t="inlineStr">
        <x:is>
          <x:t xml:space="preserve">Lecturer Faculty + GTA page</x:t>
        </x:is>
      </x:c>
      <x:c r="H34" s="7" t="inlineStr">
        <x:is>
          <x:t xml:space="preserve">https://engineering.sfsu.edu/lecturer-Faculty-%2B-GTA</x:t>
        </x:is>
      </x:c>
    </x:row>
    <x:row r="35" ht="30" customHeight="1">
      <x:c r="A35" s="5" t="inlineStr">
        <x:is>
          <x:t xml:space="preserve">John Kim</x:t>
        </x:is>
      </x:c>
      <x:c r="B35" s="5" t="inlineStr">
        <x:is>
          <x:t xml:space="preserve">Lecturer</x:t>
        </x:is>
      </x:c>
      <x:c r="C35" s="5" t="inlineStr">
        <x:is>
          <x:t xml:space="preserve">Electrical/Computer Engineering</x:t>
        </x:is>
      </x:c>
      <x:c r="D35" s="5" t="inlineStr">
        <x:is>
          <x:t xml:space="preserve">SEIC 321</x:t>
        </x:is>
      </x:c>
      <x:c r="E35" s="6">
        <x:f>IFERROR(VALUE(LEFT(SUBSTITUTE($D35,"SEIC ",""),1)),"")</x:f>
        <x:v>3</x:v>
      </x:c>
      <x:c r="F35" s="7" t="inlineStr">
        <x:is>
          <x:t xml:space="preserve"/>
        </x:is>
      </x:c>
      <x:c r="G35" s="7" t="inlineStr">
        <x:is>
          <x:t xml:space="preserve">Lecturer Faculty + GTA page</x:t>
        </x:is>
      </x:c>
      <x:c r="H35" s="7" t="inlineStr">
        <x:is>
          <x:t xml:space="preserve">https://engineering.sfsu.edu/lecturer-Faculty-%2B-GTA</x:t>
        </x:is>
      </x:c>
    </x:row>
    <x:row r="36" ht="30" customHeight="1">
      <x:c r="A36" s="5" t="inlineStr">
        <x:is>
          <x:t xml:space="preserve">Natalia Igu</x:t>
        </x:is>
      </x:c>
      <x:c r="B36" s="5" t="inlineStr">
        <x:is>
          <x:t xml:space="preserve">Lecturer</x:t>
        </x:is>
      </x:c>
      <x:c r="C36" s="5" t="inlineStr">
        <x:is>
          <x:t xml:space="preserve">Mechanical Engineering</x:t>
        </x:is>
      </x:c>
      <x:c r="D36" s="5" t="inlineStr">
        <x:is>
          <x:t xml:space="preserve">SEIC 340</x:t>
        </x:is>
      </x:c>
      <x:c r="E36" s="6">
        <x:f>IFERROR(VALUE(LEFT(SUBSTITUTE($D36,"SEIC ",""),1)),"")</x:f>
        <x:v>3</x:v>
      </x:c>
      <x:c r="F36" s="7" t="inlineStr">
        <x:is>
          <x:t xml:space="preserve"/>
        </x:is>
      </x:c>
      <x:c r="G36" s="7" t="inlineStr">
        <x:is>
          <x:t xml:space="preserve">Lecturer Faculty + GTA page</x:t>
        </x:is>
      </x:c>
      <x:c r="H36" s="7" t="inlineStr">
        <x:is>
          <x:t xml:space="preserve">https://engineering.sfsu.edu/lecturer-Faculty-%2B-GTA</x:t>
        </x:is>
      </x:c>
    </x:row>
    <x:row r="37" ht="30" customHeight="1">
      <x:c r="A37" s="5" t="inlineStr">
        <x:is>
          <x:t xml:space="preserve">Lilit Mazmanyan</x:t>
        </x:is>
      </x:c>
      <x:c r="B37" s="5" t="inlineStr">
        <x:is>
          <x:t xml:space="preserve">Lecturer</x:t>
        </x:is>
      </x:c>
      <x:c r="C37" s="5" t="inlineStr">
        <x:is>
          <x:t xml:space="preserve">Mechanical Engineering</x:t>
        </x:is>
      </x:c>
      <x:c r="D37" s="5" t="inlineStr">
        <x:is>
          <x:t xml:space="preserve">SEIC 327</x:t>
        </x:is>
      </x:c>
      <x:c r="E37" s="6">
        <x:f>IFERROR(VALUE(LEFT(SUBSTITUTE($D37,"SEIC ",""),1)),"")</x:f>
        <x:v>3</x:v>
      </x:c>
      <x:c r="F37" s="7" t="inlineStr">
        <x:is>
          <x:t xml:space="preserve"/>
        </x:is>
      </x:c>
      <x:c r="G37" s="7" t="inlineStr">
        <x:is>
          <x:t xml:space="preserve">Lecturer Faculty + GTA page</x:t>
        </x:is>
      </x:c>
      <x:c r="H37" s="7" t="inlineStr">
        <x:is>
          <x:t xml:space="preserve">https://engineering.sfsu.edu/lecturer-Faculty-%2B-GTA</x:t>
        </x:is>
      </x:c>
    </x:row>
    <x:row r="38" ht="30" customHeight="1">
      <x:c r="A38" s="5" t="inlineStr">
        <x:is>
          <x:t xml:space="preserve">George Anwar</x:t>
        </x:is>
      </x:c>
      <x:c r="B38" s="5" t="inlineStr">
        <x:is>
          <x:t xml:space="preserve">Lecturer</x:t>
        </x:is>
      </x:c>
      <x:c r="C38" s="5" t="inlineStr">
        <x:is>
          <x:t xml:space="preserve">Mechanical Engineering</x:t>
        </x:is>
      </x:c>
      <x:c r="D38" s="5" t="inlineStr">
        <x:is>
          <x:t xml:space="preserve">SEIC 321</x:t>
        </x:is>
      </x:c>
      <x:c r="E38" s="6">
        <x:f>IFERROR(VALUE(LEFT(SUBSTITUTE($D38,"SEIC ",""),1)),"")</x:f>
        <x:v>3</x:v>
      </x:c>
      <x:c r="F38" s="7" t="inlineStr">
        <x:is>
          <x:t xml:space="preserve"/>
        </x:is>
      </x:c>
      <x:c r="G38" s="7" t="inlineStr">
        <x:is>
          <x:t xml:space="preserve">Lecturer Faculty + GTA page</x:t>
        </x:is>
      </x:c>
      <x:c r="H38" s="7" t="inlineStr">
        <x:is>
          <x:t xml:space="preserve">https://engineering.sfsu.edu/lecturer-Faculty-%2B-GTA</x:t>
        </x:is>
      </x:c>
    </x:row>
    <x:row r="39" ht="30" customHeight="1">
      <x:c r="A39" s="5" t="inlineStr">
        <x:is>
          <x:t xml:space="preserve">Brett Williams</x:t>
        </x:is>
      </x:c>
      <x:c r="B39" s="5" t="inlineStr">
        <x:is>
          <x:t xml:space="preserve">Lecturer</x:t>
        </x:is>
      </x:c>
      <x:c r="C39" s="5" t="inlineStr">
        <x:is>
          <x:t xml:space="preserve">Mechanical Engineering</x:t>
        </x:is>
      </x:c>
      <x:c r="D39" s="5" t="inlineStr">
        <x:is>
          <x:t xml:space="preserve">SEIC 337</x:t>
        </x:is>
      </x:c>
      <x:c r="E39" s="6">
        <x:f>IFERROR(VALUE(LEFT(SUBSTITUTE($D39,"SEIC ",""),1)),"")</x:f>
        <x:v>3</x:v>
      </x:c>
      <x:c r="F39" s="7" t="inlineStr">
        <x:is>
          <x:t xml:space="preserve"/>
        </x:is>
      </x:c>
      <x:c r="G39" s="7" t="inlineStr">
        <x:is>
          <x:t xml:space="preserve">Lecturer Faculty + GTA page</x:t>
        </x:is>
      </x:c>
      <x:c r="H39" s="7" t="inlineStr">
        <x:is>
          <x:t xml:space="preserve">https://engineering.sfsu.edu/lecturer-Faculty-%2B-GTA</x:t>
        </x:is>
      </x:c>
    </x:row>
  </x:sheetData>
  <x:conditionalFormatting sqref="F2:F39">
    <x:cfRule type="expression" dxfId="0" priority="1">
      <x:formula>LEN(F2)&gt;0</x:formula>
    </x:cfRule>
  </x:conditionalFormatting>
  <x:pageMargins left="0.7" right="0.7" top="0.75" bottom="0.75" header="0.3" footer="0.3"/>
  <x:legacyDrawing xmlns:r="http://schemas.openxmlformats.org/officeDocument/2006/relationships" r:id="R8b19f217905048e8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8" customWidth="1"/>
    <x:col min="3" max="3" width="8" customWidth="1"/>
    <x:col min="4" max="4" width="72" customWidth="1"/>
    <x:col min="5" max="5" width="24" customWidth="1"/>
    <x:col min="6" max="6" width="42" customWidth="1"/>
  </x:cols>
  <x:sheetData>
    <x:row r="1">
      <x:c r="A1" s="4" t="inlineStr">
        <x:is>
          <x:t xml:space="preserve">Space / area</x:t>
        </x:is>
      </x:c>
      <x:c r="B1" s="4" t="inlineStr">
        <x:is>
          <x:t xml:space="preserve">Publicly listed location</x:t>
        </x:is>
      </x:c>
      <x:c r="C1" s="4" t="inlineStr">
        <x:is>
          <x:t xml:space="preserve">Floor</x:t>
        </x:is>
      </x:c>
      <x:c r="D1" s="4" t="inlineStr">
        <x:is>
          <x:t xml:space="preserve">Public description</x:t>
        </x:is>
      </x:c>
      <x:c r="E1" s="4" t="inlineStr">
        <x:is>
          <x:t xml:space="preserve">Source page</x:t>
        </x:is>
      </x:c>
      <x:c r="F1" s="4" t="inlineStr">
        <x:is>
          <x:t xml:space="preserve">Source URL</x:t>
        </x:is>
      </x:c>
    </x:row>
    <x:row r="2" ht="30" customHeight="1">
      <x:c r="A2" s="5" t="inlineStr">
        <x:is>
          <x:t xml:space="preserve">Large Garage makerspace</x:t>
        </x:is>
      </x:c>
      <x:c r="B2" s="5" t="inlineStr">
        <x:is>
          <x:t xml:space="preserve">SEIC 120</x:t>
        </x:is>
      </x:c>
      <x:c r="C2" s="6">
        <x:f>IFERROR(VALUE(LEFT(MID($B2,SEARCH("SEIC ",$B2)+5,10),1)),"")</x:f>
        <x:v>1</x:v>
      </x:c>
      <x:c r="D2" s="5" t="inlineStr">
        <x:is>
          <x:t xml:space="preserve">First floor makerspace where students prototype engineering projects; the Catalyze page explicitly identifies Room 120 as the Large Garage.</x:t>
        </x:is>
      </x:c>
      <x:c r="E2" s="5" t="inlineStr">
        <x:is>
          <x:t xml:space="preserve">Catalyze / SEIC campaign page</x:t>
        </x:is>
      </x:c>
      <x:c r="F2" s="7" t="inlineStr">
        <x:is>
          <x:t xml:space="preserve">https://catalyze.sfsu.edu/catalyze/science-engineering-innovation-center</x:t>
        </x:is>
      </x:c>
    </x:row>
    <x:row r="3" ht="30" customHeight="1">
      <x:c r="A3" s="5" t="inlineStr">
        <x:is>
          <x:t xml:space="preserve">Garage makerspaces (2 total)</x:t>
        </x:is>
      </x:c>
      <x:c r="B3" s="5" t="inlineStr">
        <x:is>
          <x:t xml:space="preserve">SEIC first floor (one room specifically identified as Room 120)</x:t>
        </x:is>
      </x:c>
      <x:c r="C3" s="6">
        <x:f>IFERROR(VALUE(LEFT(MID($B3,SEARCH("SEIC ",$B3)+5,10),1)),"")</x:f>
        <x:v>0</x:v>
      </x:c>
      <x:c r="D3" s="5" t="inlineStr">
        <x:is>
          <x:t xml:space="preserve">The building features two 'garage' makerspaces on the first floor; only the Large Garage is explicitly tied to Room 120 on the public page.</x:t>
        </x:is>
      </x:c>
      <x:c r="E3" s="5" t="inlineStr">
        <x:is>
          <x:t xml:space="preserve">Catalyze / SEIC campaign page</x:t>
        </x:is>
      </x:c>
      <x:c r="F3" s="7" t="inlineStr">
        <x:is>
          <x:t xml:space="preserve">https://catalyze.sfsu.edu/catalyze/science-engineering-innovation-center</x:t>
        </x:is>
      </x:c>
    </x:row>
    <x:row r="4" ht="30" customHeight="1">
      <x:c r="A4" s="5" t="inlineStr">
        <x:is>
          <x:t xml:space="preserve">Machine Shop / Stockroom</x:t>
        </x:is>
      </x:c>
      <x:c r="B4" s="5" t="inlineStr">
        <x:is>
          <x:t xml:space="preserve">SEIC building; exact room not publicly listed on the Stockroom page</x:t>
        </x:is>
      </x:c>
      <x:c r="C4" s="6">
        <x:f>IFERROR(VALUE(LEFT(MID($B4,SEARCH("SEIC ",$B4)+5,10),1)),"")</x:f>
        <x:v>0</x:v>
      </x:c>
      <x:c r="D4" s="5" t="inlineStr">
        <x:is>
          <x:t xml:space="preserve">Described as a hands-on laboratory for idea generation and innovation; the shop also houses student organizations such as RPL and SAE.</x:t>
        </x:is>
      </x:c>
      <x:c r="E4" s="5" t="inlineStr">
        <x:is>
          <x:t xml:space="preserve">Engineering Stockroom page</x:t>
        </x:is>
      </x:c>
      <x:c r="F4" s="7" t="inlineStr">
        <x:is>
          <x:t xml:space="preserve">https://engineering.sfsu.edu/engr-stockroom</x:t>
        </x:is>
      </x:c>
    </x:row>
    <x:row r="5" ht="30" customHeight="1">
      <x:c r="A5" s="5" t="inlineStr">
        <x:is>
          <x:t xml:space="preserve">Robotics and Mechatronics Lab</x:t>
        </x:is>
      </x:c>
      <x:c r="B5" s="5" t="inlineStr">
        <x:is>
          <x:t xml:space="preserve">SEIC building; room not publicly listed</x:t>
        </x:is>
      </x:c>
      <x:c r="C5" s="6">
        <x:f>IFERROR(VALUE(LEFT(MID($B5,SEARCH("SEIC ",$B5)+5,10),1)),"")</x:f>
        <x:v>0</x:v>
      </x:c>
      <x:c r="D5" s="5" t="inlineStr">
        <x:is>
          <x:t xml:space="preserve">Publicly described as the first robotics/mechatronics lab on campus; used for curriculum and research.</x:t>
        </x:is>
      </x:c>
      <x:c r="E5" s="5" t="inlineStr">
        <x:is>
          <x:t xml:space="preserve">Catalyze / SEIC campaign page</x:t>
        </x:is>
      </x:c>
      <x:c r="F5" s="7" t="inlineStr">
        <x:is>
          <x:t xml:space="preserve">https://catalyze.sfsu.edu/catalyze/science-engineering-innovation-center</x:t>
        </x:is>
      </x:c>
    </x:row>
    <x:row r="6" ht="30" customHeight="1">
      <x:c r="A6" s="5" t="inlineStr">
        <x:is>
          <x:t xml:space="preserve">Applied Project Space</x:t>
        </x:is>
      </x:c>
      <x:c r="B6" s="5" t="inlineStr">
        <x:is>
          <x:t xml:space="preserve">SEIC building; room not publicly listed</x:t>
        </x:is>
      </x:c>
      <x:c r="C6" s="6">
        <x:f>IFERROR(VALUE(LEFT(MID($B6,SEARCH("SEIC ",$B6)+5,10),1)),"")</x:f>
        <x:v>0</x:v>
      </x:c>
      <x:c r="D6" s="5" t="inlineStr">
        <x:is>
          <x:t xml:space="preserve">Includes strong wall, strong floor, and shake-table capabilities for advanced structural and seismic testing.</x:t>
        </x:is>
      </x:c>
      <x:c r="E6" s="5" t="inlineStr">
        <x:is>
          <x:t xml:space="preserve">Catalyze / SEIC campaign page</x:t>
        </x:is>
      </x:c>
      <x:c r="F6" s="7" t="inlineStr">
        <x:is>
          <x:t xml:space="preserve">https://catalyze.sfsu.edu/catalyze/science-engineering-innovation-center</x:t>
        </x:is>
      </x:c>
    </x:row>
    <x:row r="7" ht="30" customHeight="1">
      <x:c r="A7" s="5" t="inlineStr">
        <x:is>
          <x:t xml:space="preserve">Energy Systems Lab</x:t>
        </x:is>
      </x:c>
      <x:c r="B7" s="5" t="inlineStr">
        <x:is>
          <x:t xml:space="preserve">SEIC building; room not publicly listed</x:t>
        </x:is>
      </x:c>
      <x:c r="C7" s="6">
        <x:f>IFERROR(VALUE(LEFT(MID($B7,SEARCH("SEIC ",$B7)+5,10),1)),"")</x:f>
        <x:v>0</x:v>
      </x:c>
      <x:c r="D7" s="5" t="inlineStr">
        <x:is>
          <x:t xml:space="preserve">Public page describes engine testing area, reconfigurable HVAC training system, and advanced energy technologies.</x:t>
        </x:is>
      </x:c>
      <x:c r="E7" s="5" t="inlineStr">
        <x:is>
          <x:t xml:space="preserve">Catalyze / SEIC campaign page</x:t>
        </x:is>
      </x:c>
      <x:c r="F7" s="7" t="inlineStr">
        <x:is>
          <x:t xml:space="preserve">https://catalyze.sfsu.edu/catalyze/science-engineering-innovation-center</x:t>
        </x:is>
      </x:c>
    </x:row>
    <x:row r="8" ht="30" customHeight="1">
      <x:c r="A8" s="5" t="inlineStr">
        <x:is>
          <x:t xml:space="preserve">Fluids and Process Control Lab</x:t>
        </x:is>
      </x:c>
      <x:c r="B8" s="5" t="inlineStr">
        <x:is>
          <x:t xml:space="preserve">SEIC building; room not publicly listed</x:t>
        </x:is>
      </x:c>
      <x:c r="C8" s="6">
        <x:f>IFERROR(VALUE(LEFT(MID($B8,SEARCH("SEIC ",$B8)+5,10),1)),"")</x:f>
        <x:v>0</x:v>
      </x:c>
      <x:c r="D8" s="5" t="inlineStr">
        <x:is>
          <x:t xml:space="preserve">Public page describes aero/fluid dynamics test systems and process control systems.</x:t>
        </x:is>
      </x:c>
      <x:c r="E8" s="5" t="inlineStr">
        <x:is>
          <x:t xml:space="preserve">Catalyze / SEIC campaign page</x:t>
        </x:is>
      </x:c>
      <x:c r="F8" s="7" t="inlineStr">
        <x:is>
          <x:t xml:space="preserve">https://catalyze.sfsu.edu/catalyze/science-engineering-innovation-center</x:t>
        </x:is>
      </x:c>
    </x:row>
    <x:row r="9" ht="30" customHeight="1">
      <x:c r="A9" s="5" t="inlineStr">
        <x:is>
          <x:t xml:space="preserve">Agilent Technologies Teaching Laboratory</x:t>
        </x:is>
      </x:c>
      <x:c r="B9" s="5" t="inlineStr">
        <x:is>
          <x:t xml:space="preserve">SEIC suite 201</x:t>
        </x:is>
      </x:c>
      <x:c r="C9" s="6">
        <x:f>IFERROR(VALUE(LEFT(MID($B9,SEARCH("SEIC ",$B9)+5,10),1)),"")</x:f>
        <x:v>0</x:v>
      </x:c>
      <x:c r="D9" s="5" t="inlineStr">
        <x:is>
          <x:t xml:space="preserve">Public news page says SEIC suite 201 has been named the Agilent Technologies Teaching Laboratory.</x:t>
        </x:is>
      </x:c>
      <x:c r="E9" s="5" t="inlineStr">
        <x:is>
          <x:t xml:space="preserve">SFSU News</x:t>
        </x:is>
      </x:c>
      <x:c r="F9" s="7" t="inlineStr">
        <x:is>
          <x:t xml:space="preserve">https://news.sfsu.edu/tags/tags/chemistry-and-biochemistry</x:t>
        </x:is>
      </x:c>
    </x:row>
    <x:row r="10" ht="30" customHeight="1">
      <x:c r="A10" s="5" t="inlineStr">
        <x:is>
          <x:t xml:space="preserve">College of Science &amp; Engineering contact office</x:t>
        </x:is>
      </x:c>
      <x:c r="B10" s="5" t="inlineStr">
        <x:is>
          <x:t xml:space="preserve">SEIC 512</x:t>
        </x:is>
      </x:c>
      <x:c r="C10" s="6">
        <x:f>IFERROR(VALUE(LEFT(MID($B10,SEARCH("SEIC ",$B10)+5,10),1)),"")</x:f>
        <x:v>5</x:v>
      </x:c>
      <x:c r="D10" s="5" t="inlineStr">
        <x:is>
          <x:t xml:space="preserve">Public CoSE contact page lists the college contact location as SEIC 512.</x:t>
        </x:is>
      </x:c>
      <x:c r="E10" s="5" t="inlineStr">
        <x:is>
          <x:t xml:space="preserve">CoSE contact page</x:t>
        </x:is>
      </x:c>
      <x:c r="F10" s="7" t="inlineStr">
        <x:is>
          <x:t xml:space="preserve">https://cose.sfsu.edu/contact-us</x:t>
        </x:is>
      </x:c>
    </x:row>
    <x:row r="11" ht="30" customHeight="1">
      <x:c r="A11" s="5" t="inlineStr">
        <x:is>
          <x:t xml:space="preserve">Student Success Center</x:t>
        </x:is>
      </x:c>
      <x:c r="B11" s="5" t="inlineStr">
        <x:is>
          <x:t xml:space="preserve">SEIC building; room not publicly listed</x:t>
        </x:is>
      </x:c>
      <x:c r="C11" s="6">
        <x:f>IFERROR(VALUE(LEFT(MID($B11,SEARCH("SEIC ",$B11)+5,10),1)),"")</x:f>
        <x:v>0</x:v>
      </x:c>
      <x:c r="D11" s="5" t="inlineStr">
        <x:is>
          <x:t xml:space="preserve">Listed as one of the components housed in the building.</x:t>
        </x:is>
      </x:c>
      <x:c r="E11" s="5" t="inlineStr">
        <x:is>
          <x:t xml:space="preserve">Catalyze / SEIC campaign page</x:t>
        </x:is>
      </x:c>
      <x:c r="F11" s="7" t="inlineStr">
        <x:is>
          <x:t xml:space="preserve">https://catalyze.sfsu.edu/catalyze/science-engineering-innovation-center</x:t>
        </x:is>
      </x:c>
    </x:row>
    <x:row r="12" ht="30" customHeight="1">
      <x:c r="A12" s="5" t="inlineStr">
        <x:is>
          <x:t xml:space="preserve">Student Enrichment Office</x:t>
        </x:is>
      </x:c>
      <x:c r="B12" s="5" t="inlineStr">
        <x:is>
          <x:t xml:space="preserve">SEIC building; room not publicly listed</x:t>
        </x:is>
      </x:c>
      <x:c r="C12" s="6">
        <x:f>IFERROR(VALUE(LEFT(MID($B12,SEARCH("SEIC ",$B12)+5,10),1)),"")</x:f>
        <x:v>0</x:v>
      </x:c>
      <x:c r="D12" s="5" t="inlineStr">
        <x:is>
          <x:t xml:space="preserve">Listed as one of the components housed in the building.</x:t>
        </x:is>
      </x:c>
      <x:c r="E12" s="5" t="inlineStr">
        <x:is>
          <x:t xml:space="preserve">Catalyze / SEIC campaign page</x:t>
        </x:is>
      </x:c>
      <x:c r="F12" s="7" t="inlineStr">
        <x:is>
          <x:t xml:space="preserve">https://catalyze.sfsu.edu/catalyze/science-engineering-innovation-center</x:t>
        </x:is>
      </x:c>
    </x:row>
    <x:row r="13" ht="30" customHeight="1">
      <x:c r="A13" s="5" t="inlineStr">
        <x:is>
          <x:t xml:space="preserve">CoSE dean's offices</x:t>
        </x:is>
      </x:c>
      <x:c r="B13" s="5" t="inlineStr">
        <x:is>
          <x:t xml:space="preserve">SEIC building; room not publicly listed</x:t>
        </x:is>
      </x:c>
      <x:c r="C13" s="6">
        <x:f>IFERROR(VALUE(LEFT(MID($B13,SEARCH("SEIC ",$B13)+5,10),1)),"")</x:f>
        <x:v>0</x:v>
      </x:c>
      <x:c r="D13" s="5" t="inlineStr">
        <x:is>
          <x:t xml:space="preserve">Listed as one of the components housed in the building.</x:t>
        </x:is>
      </x:c>
      <x:c r="E13" s="5" t="inlineStr">
        <x:is>
          <x:t xml:space="preserve">Catalyze / SEIC campaign page</x:t>
        </x:is>
      </x:c>
      <x:c r="F13" s="7" t="inlineStr">
        <x:is>
          <x:t xml:space="preserve">https://catalyze.sfsu.edu/catalyze/science-engineering-innovation-center</x:t>
        </x:is>
      </x:c>
    </x:row>
  </x:sheetData>
  <x:pageMargins left="0.7" right="0.7" top="0.75" bottom="0.75" header="0.3" footer="0.3"/>
  <x:legacyDrawing xmlns:r="http://schemas.openxmlformats.org/officeDocument/2006/relationships" r:id="R222f7b75e22b4436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90" customWidth="1"/>
    <x:col min="4" max="4" width="44" customWidth="1"/>
  </x:cols>
  <x:sheetData>
    <x:row r="1">
      <x:c r="A1" s="4" t="inlineStr">
        <x:is>
          <x:t xml:space="preserve">Type</x:t>
        </x:is>
      </x:c>
      <x:c r="B1" s="4" t="inlineStr">
        <x:is>
          <x:t xml:space="preserve">Item</x:t>
        </x:is>
      </x:c>
      <x:c r="C1" s="4" t="inlineStr">
        <x:is>
          <x:t xml:space="preserve">Detail</x:t>
        </x:is>
      </x:c>
      <x:c r="D1" s="4" t="inlineStr">
        <x:is>
          <x:t xml:space="preserve">URL</x:t>
        </x:is>
      </x:c>
    </x:row>
    <x:row r="2" ht="30" customHeight="1">
      <x:c r="A2" s="5" t="inlineStr">
        <x:is>
          <x:t xml:space="preserve">Source</x:t>
        </x:is>
      </x:c>
      <x:c r="B2" s="5" t="inlineStr">
        <x:is>
          <x:t xml:space="preserve">Classroom Technology Database room list</x:t>
        </x:is>
      </x:c>
      <x:c r="C2" s="5" t="inlineStr">
        <x:is>
          <x:t xml:space="preserve">Public room-by-room listing for SEIC rooms, room type, and in-room A/V/equipment.</x:t>
        </x:is>
      </x:c>
      <x:c r="D2" s="5" t="inlineStr">
        <x:is>
          <x:t xml:space="preserve">https://classrooms.sfsu.edu/rooms</x:t>
        </x:is>
      </x:c>
    </x:row>
    <x:row r="3" ht="30" customHeight="1">
      <x:c r="A3" s="5" t="inlineStr">
        <x:is>
          <x:t xml:space="preserve">Source</x:t>
        </x:is>
      </x:c>
      <x:c r="B3" s="5" t="inlineStr">
        <x:is>
          <x:t xml:space="preserve">SFSU School of Engineering faculty page</x:t>
        </x:is>
      </x:c>
      <x:c r="C3" s="5" t="inlineStr">
        <x:is>
          <x:t xml:space="preserve">Public faculty office listings for many SEIC offices.</x:t>
        </x:is>
      </x:c>
      <x:c r="D3" s="5" t="inlineStr">
        <x:is>
          <x:t xml:space="preserve">https://engineering.sfsu.edu/faculty</x:t>
        </x:is>
      </x:c>
    </x:row>
    <x:row r="4" ht="30" customHeight="1">
      <x:c r="A4" s="5" t="inlineStr">
        <x:is>
          <x:t xml:space="preserve">Source</x:t>
        </x:is>
      </x:c>
      <x:c r="B4" s="5" t="inlineStr">
        <x:is>
          <x:t xml:space="preserve">SFSU School of Engineering lecturer faculty + GTA page</x:t>
        </x:is>
      </x:c>
      <x:c r="C4" s="5" t="inlineStr">
        <x:is>
          <x:t xml:space="preserve">Public lecturer office listings for additional SEIC offices.</x:t>
        </x:is>
      </x:c>
      <x:c r="D4" s="5" t="inlineStr">
        <x:is>
          <x:t xml:space="preserve">https://engineering.sfsu.edu/lecturer-Faculty-%2B-GTA</x:t>
        </x:is>
      </x:c>
    </x:row>
    <x:row r="5" ht="30" customHeight="1">
      <x:c r="A5" s="5" t="inlineStr">
        <x:is>
          <x:t xml:space="preserve">Source</x:t>
        </x:is>
      </x:c>
      <x:c r="B5" s="5" t="inlineStr">
        <x:is>
          <x:t xml:space="preserve">SFSU faculty profile pages</x:t>
        </x:is>
      </x:c>
      <x:c r="C5" s="5" t="inlineStr">
        <x:is>
          <x:t xml:space="preserve">Used to confirm selected office assignments when profile snippets were available in search results.</x:t>
        </x:is>
      </x:c>
      <x:c r="D5" s="5" t="inlineStr">
        <x:is>
          <x:t xml:space="preserve">https://engineering.sfsu.edu/</x:t>
        </x:is>
      </x:c>
    </x:row>
    <x:row r="6" ht="30" customHeight="1">
      <x:c r="A6" s="5" t="inlineStr">
        <x:is>
          <x:t xml:space="preserve">Source</x:t>
        </x:is>
      </x:c>
      <x:c r="B6" s="5" t="inlineStr">
        <x:is>
          <x:t xml:space="preserve">Catalyze the Future: Science &amp; Engineering Innovation Center</x:t>
        </x:is>
      </x:c>
      <x:c r="C6" s="5" t="inlineStr">
        <x:is>
          <x:t xml:space="preserve">Public description of named SEIC spaces, including the Large Garage (Room 120) and engineering facilities.</x:t>
        </x:is>
      </x:c>
      <x:c r="D6" s="5" t="inlineStr">
        <x:is>
          <x:t xml:space="preserve">https://catalyze.sfsu.edu/catalyze/science-engineering-innovation-center</x:t>
        </x:is>
      </x:c>
    </x:row>
    <x:row r="7" ht="30" customHeight="1">
      <x:c r="A7" s="5" t="inlineStr">
        <x:is>
          <x:t xml:space="preserve">Source</x:t>
        </x:is>
      </x:c>
      <x:c r="B7" s="5" t="inlineStr">
        <x:is>
          <x:t xml:space="preserve">Engineering Stockroom page</x:t>
        </x:is>
      </x:c>
      <x:c r="C7" s="5" t="inlineStr">
        <x:is>
          <x:t xml:space="preserve">Public description of the stockroom/machine shop and housed organizations; room number not listed there.</x:t>
        </x:is>
      </x:c>
      <x:c r="D7" s="5" t="inlineStr">
        <x:is>
          <x:t xml:space="preserve">https://engineering.sfsu.edu/engr-stockroom</x:t>
        </x:is>
      </x:c>
    </x:row>
    <x:row r="8" ht="30" customHeight="1">
      <x:c r="A8" s="5" t="inlineStr">
        <x:is>
          <x:t xml:space="preserve">Source</x:t>
        </x:is>
      </x:c>
      <x:c r="B8" s="5" t="inlineStr">
        <x:is>
          <x:t xml:space="preserve">CoSE contact page</x:t>
        </x:is>
      </x:c>
      <x:c r="C8" s="5" t="inlineStr">
        <x:is>
          <x:t xml:space="preserve">Public listing showing CoSE contact office at SEIC 512.</x:t>
        </x:is>
      </x:c>
      <x:c r="D8" s="5" t="inlineStr">
        <x:is>
          <x:t xml:space="preserve">https://cose.sfsu.edu/contact-us</x:t>
        </x:is>
      </x:c>
    </x:row>
    <x:row r="9" ht="30" customHeight="1">
      <x:c r="A9" s="5" t="inlineStr">
        <x:is>
          <x:t xml:space="preserve">Source</x:t>
        </x:is>
      </x:c>
      <x:c r="B9" s="5" t="inlineStr">
        <x:is>
          <x:t xml:space="preserve">SFSU News / chemistry equipment story</x:t>
        </x:is>
      </x:c>
      <x:c r="C9" s="5" t="inlineStr">
        <x:is>
          <x:t xml:space="preserve">Search result snippet notes SEIC suite 201 as the Agilent Technologies Teaching Laboratory.</x:t>
        </x:is>
      </x:c>
      <x:c r="D9" s="5" t="inlineStr">
        <x:is>
          <x:t xml:space="preserve">https://news.sfsu.edu/tags/tags/chemistry-and-biochemistry</x:t>
        </x:is>
      </x:c>
    </x:row>
    <x:row r="10" ht="30" customHeight="1">
      <x:c r="A10" s="5" t="inlineStr">
        <x:is>
          <x:t xml:space="preserve">Interpretation note</x:t>
        </x:is>
      </x:c>
      <x:c r="B10" s="5" t="inlineStr">
        <x:is>
          <x:t xml:space="preserve">Zhaoshuo Jiang office</x:t>
        </x:is>
      </x:c>
      <x:c r="C10" s="5" t="inlineStr">
        <x:is>
          <x:t xml:space="preserve">The public faculty list and profile information do not fully agree: SEIC 334 appears on the profile / coordinator listing, while one faculty-list section shows SEIC 346.</x:t>
        </x:is>
      </x:c>
      <x:c r="D10" s="5" t="inlineStr">
        <x:is>
          <x:t xml:space="preserve"/>
        </x:is>
      </x:c>
    </x:row>
    <x:row r="11" ht="30" customHeight="1">
      <x:c r="A11" s="5" t="inlineStr">
        <x:is>
          <x:t xml:space="preserve">Interpretation note</x:t>
        </x:is>
      </x:c>
      <x:c r="B11" s="5" t="inlineStr">
        <x:is>
          <x:t xml:space="preserve">School of Engineering office</x:t>
        </x:is>
      </x:c>
      <x:c r="C11" s="5" t="inlineStr">
        <x:is>
          <x:t xml:space="preserve">Public engineering staff pages list SEC 311 / SEC 311A, outside SEIC. A separate advising page snippet references SEIC 311. This workbook keeps the SEIC directory separate and does not treat SEC rooms as SEIC rooms.</x:t>
        </x:is>
      </x:c>
      <x:c r="D11" s="5" t="inlineStr">
        <x:is>
          <x:t xml:space="preserve"/>
        </x:is>
      </x:c>
    </x:row>
    <x:row r="12" ht="30" customHeight="1">
      <x:c r="A12" s="5" t="inlineStr">
        <x:is>
          <x:t xml:space="preserve">Interpretation note</x:t>
        </x:is>
      </x:c>
      <x:c r="B12" s="5" t="inlineStr">
        <x:is>
          <x:t xml:space="preserve">Room type vs office use</x:t>
        </x:is>
      </x:c>
      <x:c r="C12" s="5" t="inlineStr">
        <x:is>
          <x:t xml:space="preserve">Some rooms appear as shared offices on faculty/lecturer pages but as conference rooms on the classroom database (for example SEIC 327).</x:t>
        </x:is>
      </x:c>
      <x:c r="D12" s="5" t="inlineStr">
        <x:is>
          <x:t xml:space="preserve"/>
        </x:is>
      </x:c>
    </x:row>
  </x:sheetData>
  <x:pageMargins left="0.7" right="0.7" top="0.75" bottom="0.75" header="0.3" footer="0.3"/>
</x:worksheet>
</file>